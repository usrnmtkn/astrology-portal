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488074f8fa446b" /></Relationships>
</file>

<file path=xl/workbook.xml><?xml version="1.0" encoding="utf-8"?>
<x:workbook xmlns:x="http://schemas.openxmlformats.org/spreadsheetml/2006/main">
  <x:sheets>
    <x:sheet xmlns:r="http://schemas.openxmlformats.org/officeDocument/2006/relationships" name="Overview" sheetId="1" r:id="Rc321587bd5ba40a9"/>
    <x:sheet xmlns:r="http://schemas.openxmlformats.org/officeDocument/2006/relationships" name="Rewrite Workspace" sheetId="2" r:id="R4c7bc42bf9374d6f"/>
    <x:sheet xmlns:r="http://schemas.openxmlformats.org/officeDocument/2006/relationships" name="Source Doctrine" sheetId="3" r:id="Rd79615baaa564055"/>
    <x:sheet xmlns:r="http://schemas.openxmlformats.org/officeDocument/2006/relationships" name="Owner Calibration" sheetId="4" r:id="R115247c664d742cf"/>
    <x:sheet xmlns:r="http://schemas.openxmlformats.org/officeDocument/2006/relationships" name="Pair Meaning" sheetId="5" r:id="Rc10ec0a2c97a435e"/>
    <x:sheet xmlns:r="http://schemas.openxmlformats.org/officeDocument/2006/relationships" name="Aspect Behavior" sheetId="6" r:id="Rbfa616f13dba4a9b"/>
    <x:sheet xmlns:r="http://schemas.openxmlformats.org/officeDocument/2006/relationships" name="Planet Sign Layer" sheetId="7" r:id="Rf27c5ed30fb94c80"/>
    <x:sheet xmlns:r="http://schemas.openxmlformats.org/officeDocument/2006/relationships" name="Date Context" sheetId="8" r:id="Rf3aa71ad707a4e1f"/>
    <x:sheet xmlns:r="http://schemas.openxmlformats.org/officeDocument/2006/relationships" name="Sign-Aware Composer" sheetId="9" r:id="R49b04163745c4ae7"/>
    <x:sheet xmlns:r="http://schemas.openxmlformats.org/officeDocument/2006/relationships" name="Composer Contract" sheetId="10" r:id="R06aadd27dead43c7"/>
    <x:sheet xmlns:r="http://schemas.openxmlformats.org/officeDocument/2006/relationships" name="Sign-Aware Benchmarks" sheetId="11" r:id="Rf0bab6567472419d"/>
    <x:sheet xmlns:r="http://schemas.openxmlformats.org/officeDocument/2006/relationships" name="Sign-Aware Layer QA" sheetId="12" r:id="R2de0c00c23e84511"/>
    <x:sheet xmlns:r="http://schemas.openxmlformats.org/officeDocument/2006/relationships" name="Batch Approval" sheetId="13" r:id="R1ab00fc73c37447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15">
    <x:font>
      <x:sz val="11"/>
      <x:name val="Carlito"/>
    </x:font>
    <x:font>
      <x:b/>
      <x:sz val="16"/>
      <x:color rgb="FFFFFFFF"/>
      <x:name val="Carlito"/>
    </x:font>
    <x:font>
      <x:b/>
      <x:sz val="11"/>
      <x:color rgb="FF162033"/>
      <x:name val="Carlito"/>
    </x:font>
    <x:font>
      <x:b/>
      <x:sz val="11"/>
      <x:name val="Carlito"/>
    </x:font>
    <x:font>
      <x:b/>
      <x:sz val="11"/>
      <x:color rgb="FFFFFFFF"/>
      <x:name val="Carlito"/>
    </x:font>
    <x:font>
      <x:b/>
      <x:sz val="10"/>
      <x:color rgb="FFFFFFFF"/>
      <x:name val="Aptos"/>
    </x:font>
    <x:font>
      <x:sz val="8"/>
      <x:color rgb="FF475467"/>
      <x:name val="Aptos Mono"/>
    </x:font>
    <x:font>
      <x:b/>
      <x:sz val="10"/>
      <x:color rgb="FF216E39"/>
      <x:name val="Aptos"/>
    </x:font>
    <x:font>
      <x:sz val="10"/>
      <x:color rgb="FF19212B"/>
      <x:name val="Aptos"/>
    </x:font>
    <x:font>
      <x:b/>
      <x:sz val="20"/>
      <x:color rgb="FFFFFFFF"/>
      <x:name val="Aptos Display"/>
    </x:font>
    <x:font>
      <x:b/>
      <x:sz val="11"/>
      <x:color rgb="FF3C2F73"/>
      <x:name val="Aptos"/>
    </x:font>
    <x:font>
      <x:b/>
      <x:sz val="11"/>
      <x:color rgb="FFFFFFFF"/>
      <x:name val="Aptos"/>
    </x:font>
    <x:font>
      <x:b/>
      <x:sz val="10"/>
      <x:color rgb="FF243B53"/>
      <x:name val="Aptos"/>
    </x:font>
    <x:font>
      <x:b/>
      <x:sz val="11"/>
      <x:color rgb="FF19212B"/>
      <x:name val="Aptos"/>
    </x:font>
    <x:font>
      <x:sz val="11"/>
      <x:color rgb="FF19212B"/>
      <x:name val="Aptos"/>
    </x:font>
  </x:fonts>
  <x:fills count="16">
    <x:fill>
      <x:patternFill patternType="none"/>
    </x:fill>
    <x:fill>
      <x:patternFill patternType="gray125"/>
    </x:fill>
    <x:fill>
      <x:patternFill patternType="solid">
        <x:fgColor rgb="FF162033"/>
      </x:patternFill>
    </x:fill>
    <x:fill>
      <x:patternFill patternType="solid">
        <x:fgColor rgb="FFDFF2E5"/>
      </x:patternFill>
    </x:fill>
    <x:fill>
      <x:patternFill patternType="solid">
        <x:fgColor rgb="FFFCE0E0"/>
      </x:patternFill>
    </x:fill>
    <x:fill>
      <x:patternFill patternType="solid">
        <x:fgColor rgb="FFE8EEF5"/>
      </x:patternFill>
    </x:fill>
    <x:fill>
      <x:patternFill patternType="solid">
        <x:fgColor rgb="FFF7F9FC"/>
      </x:patternFill>
    </x:fill>
    <x:fill>
      <x:patternFill patternType="solid">
        <x:fgColor rgb="FFFFF2CC"/>
      </x:patternFill>
    </x:fill>
    <x:fill>
      <x:patternFill patternType="solid">
        <x:fgColor rgb="FF1F2937"/>
      </x:patternFill>
    </x:fill>
    <x:fill>
      <x:patternFill patternType="solid">
        <x:fgColor rgb="FF243B53"/>
      </x:patternFill>
    </x:fill>
    <x:fill>
      <x:patternFill patternType="solid">
        <x:fgColor rgb="FFE7F6EC"/>
      </x:patternFill>
    </x:fill>
    <x:fill>
      <x:patternFill patternType="solid">
        <x:fgColor rgb="FFFFF9E8"/>
      </x:patternFill>
    </x:fill>
    <x:fill>
      <x:patternFill patternType="solid">
        <x:fgColor rgb="FFEDE9FE"/>
      </x:patternFill>
    </x:fill>
    <x:fill>
      <x:patternFill patternType="solid">
        <x:fgColor rgb="FF6D5BD0"/>
      </x:patternFill>
    </x:fill>
    <x:fill>
      <x:patternFill patternType="solid">
        <x:fgColor rgb="FFF7F5FC"/>
      </x:patternFill>
    </x:fill>
    <x:fill>
      <x:patternFill patternType="solid">
        <x:fgColor rgb="FFFFF4D6"/>
      </x:patternFill>
    </x:fill>
  </x:fills>
  <x:borders count="15">
    <x:border/>
    <x:border>
      <x:right style="thin">
        <x:color rgb="FFCFD8E3"/>
      </x:right>
      <x:bottom style="thin">
        <x:color rgb="FFCFD8E3"/>
      </x:bottom>
    </x:border>
    <x:border>
      <x:left style="thin">
        <x:color rgb="FFCFD8E3"/>
      </x:left>
      <x:bottom style="thin">
        <x:color rgb="FFCFD8E3"/>
      </x:bottom>
    </x:border>
    <x:border>
      <x:right style="thin">
        <x:color rgb="FFCFD8E3"/>
      </x:right>
      <x:top style="thin">
        <x:color rgb="FFCFD8E3"/>
      </x:top>
      <x:bottom style="thin">
        <x:color rgb="FFCFD8E3"/>
      </x:bottom>
    </x:border>
    <x:border>
      <x:left style="thin">
        <x:color rgb="FFCFD8E3"/>
      </x:left>
      <x:top style="thin">
        <x:color rgb="FFCFD8E3"/>
      </x:top>
      <x:bottom style="thin">
        <x:color rgb="FFCFD8E3"/>
      </x:bottom>
    </x:border>
    <x:border>
      <x:right style="thin">
        <x:color rgb="FFCFD8E3"/>
      </x:right>
      <x:top style="thin">
        <x:color rgb="FFCFD8E3"/>
      </x:top>
    </x:border>
    <x:border>
      <x:left style="thin">
        <x:color rgb="FFCFD8E3"/>
      </x:left>
      <x:top style="thin">
        <x:color rgb="FFCFD8E3"/>
      </x:top>
    </x:border>
    <x:border>
      <x:right style="thin">
        <x:color rgb="FFCFD8E3"/>
      </x:right>
    </x:border>
    <x:border>
      <x:left style="thin">
        <x:color rgb="FFCFD8E3"/>
      </x:left>
      <x:right style="thin">
        <x:color rgb="FFCFD8E3"/>
      </x:right>
    </x:border>
    <x:border>
      <x:left style="thin">
        <x:color rgb="FFCFD8E3"/>
      </x:left>
    </x:border>
    <x:border>
      <x:left style="thin">
        <x:color rgb="FFCFD8E3"/>
      </x:left>
      <x:right style="thin">
        <x:color rgb="FFCFD8E3"/>
      </x:right>
      <x:bottom style="thin">
        <x:color rgb="FFCFD8E3"/>
      </x:bottom>
    </x:border>
    <x:border>
      <x:left style="thin">
        <x:color rgb="FFCFD8E3"/>
      </x:left>
      <x:right style="thin">
        <x:color rgb="FFCFD8E3"/>
      </x:right>
      <x:top style="thin">
        <x:color rgb="FFCFD8E3"/>
      </x:top>
      <x:bottom style="thin">
        <x:color rgb="FFCFD8E3"/>
      </x:bottom>
    </x:border>
    <x:border>
      <x:left style="thin">
        <x:color rgb="FFCFD8E3"/>
      </x:left>
      <x:right style="thin">
        <x:color rgb="FFCFD8E3"/>
      </x:right>
      <x:top style="thin">
        <x:color rgb="FFCFD8E3"/>
      </x:top>
    </x:border>
    <x:border>
      <x:bottom style="thin">
        <x:color rgb="FFCFD8E3"/>
      </x:bottom>
    </x:border>
    <x:border>
      <x:top style="thin">
        <x:color rgb="FFCFD8E3"/>
      </x:top>
      <x:bottom style="thin">
        <x:color rgb="FFCFD8E3"/>
      </x:bottom>
    </x:border>
  </x:borders>
  <x:cellStyleXfs count="1">
    <x:xf numFmtId="0" fontId="0" fillId="0" borderId="0"/>
  </x:cellStyleXfs>
  <x:cellXfs count="10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0" fillId="0" borderId="2" xfId="0" applyNumberFormat="1" applyFont="1" applyFill="1" applyBorder="1"/>
    <x:xf numFmtId="0" fontId="2" fillId="0" borderId="3" xfId="0" applyNumberFormat="1" applyFont="1" applyFill="1" applyBorder="1"/>
    <x:xf numFmtId="0" fontId="0" fillId="0" borderId="4" xfId="0" applyNumberFormat="1" applyFont="1" applyFill="1" applyBorder="1"/>
    <x:xf numFmtId="0" fontId="2" fillId="0" borderId="5" xfId="0" applyNumberFormat="1" applyFont="1" applyFill="1" applyBorder="1"/>
    <x:xf numFmtId="0" fontId="0" fillId="0" borderId="6" xfId="0" applyNumberFormat="1" applyFont="1" applyFill="1" applyBorder="1"/>
    <x:xf numFmtId="0" fontId="2"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0" fillId="0" borderId="6" xfId="0" applyNumberFormat="1" applyFont="1" applyFill="1" applyBorder="1" applyAlignment="1">
      <x:alignment wrapText="1"/>
    </x:xf>
    <x:xf numFmtId="200" fontId="0" fillId="0" borderId="2" xfId="0" applyNumberFormat="1" applyFont="1" applyFill="1" applyBorder="1" applyAlignment="1">
      <x:alignment wrapText="1"/>
    </x:xf>
    <x:xf numFmtId="0" fontId="0" fillId="3" borderId="4" xfId="0" applyNumberFormat="1" applyFont="1" applyFill="1" applyBorder="1" applyAlignment="1">
      <x:alignment wrapText="1"/>
    </x:xf>
    <x:xf numFmtId="0" fontId="0" fillId="4" borderId="4"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2" fillId="5" borderId="7" xfId="0" applyNumberFormat="1" applyFont="1" applyFill="1" applyBorder="1" applyAlignment="1">
      <x:alignment vertical="center" wrapText="1"/>
    </x:xf>
    <x:xf numFmtId="0" fontId="2" fillId="5" borderId="8" xfId="0" applyNumberFormat="1" applyFont="1" applyFill="1" applyBorder="1" applyAlignment="1">
      <x:alignment vertical="center" wrapText="1"/>
    </x:xf>
    <x:xf numFmtId="0" fontId="2" fillId="5" borderId="9"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6" xfId="0" applyNumberFormat="1" applyFont="1" applyFill="1" applyBorder="1" applyAlignment="1">
      <x:alignment wrapText="1"/>
    </x:xf>
    <x:xf numFmtId="201" fontId="0" fillId="0" borderId="0" xfId="0" applyNumberFormat="1" applyFont="1" applyFill="1" applyBorder="1"/>
    <x:xf numFmtId="0" fontId="0" fillId="0" borderId="1" xfId="0" applyNumberFormat="1" applyFont="1" applyFill="1" applyBorder="1"/>
    <x:xf numFmtId="0" fontId="0" fillId="0" borderId="10" xfId="0" applyNumberFormat="1" applyFont="1" applyFill="1" applyBorder="1"/>
    <x:xf numFmtId="201" fontId="0" fillId="0" borderId="2" xfId="0" applyNumberFormat="1" applyFont="1" applyFill="1" applyBorder="1"/>
    <x:xf numFmtId="0" fontId="0" fillId="0" borderId="3" xfId="0" applyNumberFormat="1" applyFont="1" applyFill="1" applyBorder="1"/>
    <x:xf numFmtId="0" fontId="0" fillId="0" borderId="11" xfId="0" applyNumberFormat="1" applyFont="1" applyFill="1" applyBorder="1"/>
    <x:xf numFmtId="201" fontId="0" fillId="0" borderId="4" xfId="0" applyNumberFormat="1" applyFont="1" applyFill="1" applyBorder="1"/>
    <x:xf numFmtId="0" fontId="0" fillId="0" borderId="5" xfId="0" applyNumberFormat="1" applyFont="1" applyFill="1" applyBorder="1"/>
    <x:xf numFmtId="0" fontId="0" fillId="0" borderId="12" xfId="0" applyNumberFormat="1" applyFont="1" applyFill="1" applyBorder="1"/>
    <x:xf numFmtId="201" fontId="0" fillId="0" borderId="6" xfId="0" applyNumberFormat="1" applyFont="1" applyFill="1" applyBorder="1"/>
    <x:xf numFmtId="0" fontId="3" fillId="0" borderId="1" xfId="0" applyNumberFormat="1" applyFont="1" applyFill="1" applyBorder="1"/>
    <x:xf numFmtId="0" fontId="3" fillId="0" borderId="3" xfId="0" applyNumberFormat="1" applyFont="1" applyFill="1" applyBorder="1"/>
    <x:xf numFmtId="0" fontId="3" fillId="0" borderId="5" xfId="0" applyNumberFormat="1" applyFont="1" applyFill="1" applyBorder="1"/>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7" borderId="13" xfId="0" applyNumberFormat="1" applyFont="1" applyFill="1" applyBorder="1" applyAlignment="1">
      <x:alignment vertical="top" wrapText="1"/>
    </x:xf>
    <x:xf numFmtId="0" fontId="0" fillId="7" borderId="14" xfId="0" applyNumberFormat="1" applyFont="1" applyFill="1" applyBorder="1" applyAlignment="1">
      <x:alignment vertical="top" wrapText="1"/>
    </x:xf>
    <x:xf numFmtId="0" fontId="2" fillId="0" borderId="13"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3" borderId="14" xfId="0" applyNumberFormat="1" applyFont="1" applyFill="1" applyBorder="1" applyAlignment="1">
      <x:alignment vertical="top" wrapText="1"/>
    </x:xf>
    <x:xf numFmtId="0" fontId="0" fillId="0"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top"/>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top" wrapText="1"/>
    </x:xf>
    <x:xf numFmtId="0" fontId="9" fillId="9" borderId="0" xfId="0" applyNumberFormat="1" applyFont="1" applyFill="1" applyBorder="1"/>
    <x:xf numFmtId="0" fontId="9" fillId="9" borderId="0" xfId="0" applyNumberFormat="1" applyFont="1" applyFill="1" applyBorder="1" applyAlignment="1">
      <x:alignmen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13" fillId="0" borderId="0" xfId="0" applyNumberFormat="1" applyFont="1" applyFill="1" applyBorder="1"/>
    <x:xf numFmtId="0" fontId="13" fillId="0" borderId="0" xfId="0" applyNumberFormat="1" applyFont="1" applyFill="1" applyBorder="1" applyAlignment="1">
      <x:alignment horizontal="center"/>
    </x:xf>
    <x:xf numFmtId="0" fontId="14" fillId="14" borderId="0" xfId="0" applyNumberFormat="1" applyFont="1" applyFill="1" applyBorder="1"/>
    <x:xf numFmtId="0" fontId="14" fillId="14" borderId="0" xfId="0" applyNumberFormat="1" applyFont="1" applyFill="1" applyBorder="1" applyAlignment="1">
      <x:alignment wrapText="1"/>
    </x:xf>
    <x:xf numFmtId="0" fontId="14" fillId="14" borderId="0" xfId="0" applyNumberFormat="1" applyFont="1" applyFill="1" applyBorder="1" applyAlignment="1">
      <x:alignment vertical="top" wrapText="1"/>
    </x:xf>
    <x:xf numFmtId="0" fontId="0"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wrapText="1"/>
    </x:xf>
    <x:xf numFmtId="0" fontId="13" fillId="15" borderId="0" xfId="0" applyNumberFormat="1" applyFont="1" applyFill="1" applyBorder="1" applyAlignment="1">
      <x:alignment vertical="top" wrapText="1"/>
    </x:xf>
  </x:cellXfs>
  <x:cellStyles count="1">
    <x:cellStyle name="Normal" xfId="0"/>
  </x:cellStyles>
  <x:dxfs count="2">
    <x:dxf>
      <x:font>
        <x:b/>
        <x:color rgb="FF8A5A00"/>
      </x:font>
      <x:fill>
        <x:patternFill patternType="solid">
          <x:bgColor rgb="FFFFF4D6"/>
        </x:patternFill>
      </x:fill>
    </x:dxf>
    <x:dxf>
      <x:font>
        <x:b/>
        <x:color rgb="FFB42318"/>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ac4f7a204d4113" /><Relationship Type="http://schemas.openxmlformats.org/officeDocument/2006/relationships/theme" Target="/xl/theme/theme1.xml" Id="R2dc888bdf32b41f8" /><Relationship Type="http://schemas.openxmlformats.org/officeDocument/2006/relationships/sharedStrings" Target="/xl/sharedStrings.xml" Id="R29b363c2d44c4a68" /><Relationship Type="http://schemas.openxmlformats.org/officeDocument/2006/relationships/worksheet" Target="/xl/worksheets/sheet1.xml" Id="Rc321587bd5ba40a9" /><Relationship Type="http://schemas.openxmlformats.org/officeDocument/2006/relationships/worksheet" Target="/xl/worksheets/sheet2.xml" Id="R4c7bc42bf9374d6f" /><Relationship Type="http://schemas.openxmlformats.org/officeDocument/2006/relationships/worksheet" Target="/xl/worksheets/sheet3.xml" Id="Rd79615baaa564055" /><Relationship Type="http://schemas.openxmlformats.org/officeDocument/2006/relationships/worksheet" Target="/xl/worksheets/sheet4.xml" Id="R115247c664d742cf" /><Relationship Type="http://schemas.openxmlformats.org/officeDocument/2006/relationships/worksheet" Target="/xl/worksheets/sheet5.xml" Id="Rc10ec0a2c97a435e" /><Relationship Type="http://schemas.openxmlformats.org/officeDocument/2006/relationships/worksheet" Target="/xl/worksheets/sheet6.xml" Id="Rbfa616f13dba4a9b" /><Relationship Type="http://schemas.openxmlformats.org/officeDocument/2006/relationships/worksheet" Target="/xl/worksheets/sheet7.xml" Id="Rf27c5ed30fb94c80" /><Relationship Type="http://schemas.openxmlformats.org/officeDocument/2006/relationships/worksheet" Target="/xl/worksheets/sheet8.xml" Id="Rf3aa71ad707a4e1f" /><Relationship Type="http://schemas.openxmlformats.org/officeDocument/2006/relationships/worksheet" Target="/xl/worksheets/sheet9.xml" Id="R49b04163745c4ae7" /><Relationship Type="http://schemas.openxmlformats.org/officeDocument/2006/relationships/worksheet" Target="/xl/worksheets/sheet10.xml" Id="R06aadd27dead43c7" /><Relationship Type="http://schemas.openxmlformats.org/officeDocument/2006/relationships/worksheet" Target="/xl/worksheets/sheet11.xml" Id="Rf0bab6567472419d" /><Relationship Type="http://schemas.openxmlformats.org/officeDocument/2006/relationships/worksheet" Target="/xl/worksheets/sheet12.xml" Id="R2de0c00c23e84511" /><Relationship Type="http://schemas.openxmlformats.org/officeDocument/2006/relationships/worksheet" Target="/xl/worksheets/sheet13.xml" Id="R1ab00fc73c374472" /></Relationships>
</file>

<file path=xl/tables/table1.xml><?xml version="1.0" encoding="utf-8"?>
<x:table xmlns:x="http://schemas.openxmlformats.org/spreadsheetml/2006/main" id="1" name="SkyCalendarRewriteTable" displayName="SkyCalendarRewriteTable" ref="A2:N217" headerRowCount="1" totalsRowCount="0" totalsRowShown="0">
  <x:autoFilter ref="A2:N217"/>
  <x:tableColumns count="14">
    <x:tableColumn id="1" name="#"/>
    <x:tableColumn id="2" name="Content Key"/>
    <x:tableColumn id="3" name="Title"/>
    <x:tableColumn id="4" name="Transiting"/>
    <x:tableColumn id="5" name="Aspect"/>
    <x:tableColumn id="6" name="Other"/>
    <x:tableColumn id="7" name="Current Summary"/>
    <x:tableColumn id="8" name="Current Body"/>
    <x:tableColumn id="9" name="Approved Via"/>
    <x:tableColumn id="10" name="Owner Rewrite Summary"/>
    <x:tableColumn id="11" name="Owner Rewrite Body"/>
    <x:tableColumn id="12" name="Owner Notes"/>
    <x:tableColumn id="13" name="Owner Status"/>
    <x:tableColumn id="14" name="Source File"/>
  </x:tableColumns>
  <x:tableStyleInfo name="TableStyleMedium2" showFirstColumn="0" showLastColumn="0" showRowStripes="1" showColumnStripes="0"/>
</x:table>
</file>

<file path=xl/tables/table2.xml><?xml version="1.0" encoding="utf-8"?>
<x:table xmlns:x="http://schemas.openxmlformats.org/spreadsheetml/2006/main" id="2" name="SkyCalendarDoctrineTable" displayName="SkyCalendarDoctrineTable" ref="A2:O217" headerRowCount="1" totalsRowCount="0" totalsRowShown="0">
  <x:autoFilter ref="A2:O217"/>
  <x:tableColumns count="15">
    <x:tableColumn id="1" name="#"/>
    <x:tableColumn id="2" name="Content Key"/>
    <x:tableColumn id="3" name="Traditional"/>
    <x:tableColumn id="4" name="Modern"/>
    <x:tableColumn id="5" name="Cyclic Phase"/>
    <x:tableColumn id="6" name="Cyclic Waxing"/>
    <x:tableColumn id="7" name="Cyclic Waning"/>
    <x:tableColumn id="8" name="Business"/>
    <x:tableColumn id="9" name="Shadow"/>
    <x:tableColumn id="10" name="Applying"/>
    <x:tableColumn id="11" name="Separating"/>
    <x:tableColumn id="12" name="Base"/>
    <x:tableColumn id="13" name="Provenance"/>
    <x:tableColumn id="14" name="Source SHA-256"/>
    <x:tableColumn id="15" name="Source 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4969db04a14b03" /></Relationships>
</file>

<file path=xl/worksheets/_rels/sheet3.xml.rels>&#65279;<?xml version="1.0" encoding="utf-8"?><Relationships xmlns="http://schemas.openxmlformats.org/package/2006/relationships"><Relationship Type="http://schemas.openxmlformats.org/officeDocument/2006/relationships/table" Target="/xl/tables/table2.xml" Id="R3fa84090a4b34860"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16" hidden="0" customWidth="1"/>
    <x:col min="4" max="4" width="25" hidden="0" customWidth="1"/>
    <x:col min="5" max="5" width="25" hidden="0" customWidth="1"/>
    <x:col min="6" max="6" width="25" hidden="0" customWidth="1"/>
  </x:cols>
  <x:sheetData>
    <x:row r="1" ht="34" customHeight="1">
      <x:c r="A1" s="3" t="str">
        <x:v>Sky Calendar: All LIVE Exact Aspects — Owner Rewrite Workbook</x:v>
      </x:c>
    </x:row>
    <x:row r="3" ht="32" customHeight="1">
      <x:c r="A3" s="11" t="str">
        <x:v>Export date</x:v>
      </x:c>
      <x:c r="B3" s="17" t="n">
        <x:v>46254.666666666664</x:v>
      </x:c>
      <x:c r="D3" s="24" t="str">
        <x:v>How to use</x:v>
      </x:c>
      <x:c r="E3" s="25"/>
      <x:c r="F3" s="26"/>
    </x:row>
    <x:row r="4">
      <x:c r="A4" s="13" t="str">
        <x:v>Source directory</x:v>
      </x:c>
      <x:c r="B4" s="14" t="str">
        <x:v>/Users/mprez/Code/tldrastro/packages/astro-knowledge/data/transits</x:v>
      </x:c>
      <x:c r="D4" s="29" t="str">
        <x:v>1. Open Rewrite Workspace.</x:v>
      </x:c>
      <x:c r="E4" s="30"/>
      <x:c r="F4" s="31"/>
    </x:row>
    <x:row r="5">
      <x:c r="A5" s="13" t="str">
        <x:v>LIVE aspect records</x:v>
      </x:c>
      <x:c r="B5" s="14" t="n">
        <x:v>215</x:v>
      </x:c>
      <x:c r="D5" s="32" t="str">
        <x:v>2. Filter by planet, pair, or aspect.</x:v>
      </x:c>
      <x:c r="E5" s="33"/>
      <x:c r="F5" s="34"/>
    </x:row>
    <x:row r="6">
      <x:c r="A6" s="13" t="str">
        <x:v>Generated prose</x:v>
      </x:c>
      <x:c r="B6" s="18" t="str">
        <x:v>None</x:v>
      </x:c>
      <x:c r="D6" s="32" t="str">
        <x:v>3. Keep Current Body visible as reference.</x:v>
      </x:c>
      <x:c r="E6" s="33"/>
      <x:c r="F6" s="34"/>
    </x:row>
    <x:row r="7">
      <x:c r="A7" s="13" t="str">
        <x:v>Existing copy changed</x:v>
      </x:c>
      <x:c r="B7" s="18" t="str">
        <x:v>No</x:v>
      </x:c>
      <x:c r="D7" s="32" t="str">
        <x:v>4. Write directly into Owner Rewrite Body.</x:v>
      </x:c>
      <x:c r="E7" s="33"/>
      <x:c r="F7" s="34"/>
    </x:row>
    <x:row r="8">
      <x:c r="A8" s="13" t="str">
        <x:v>Owner rewrite columns</x:v>
      </x:c>
      <x:c r="B8" s="18" t="str">
        <x:v>Blank and editable</x:v>
      </x:c>
      <x:c r="D8" s="32" t="str">
        <x:v>5. Use Owner Notes for problems or source questions.</x:v>
      </x:c>
      <x:c r="E8" s="33"/>
      <x:c r="F8" s="34"/>
    </x:row>
    <x:row r="9">
      <x:c r="A9" s="13" t="str">
        <x:v>Serving effect</x:v>
      </x:c>
      <x:c r="B9" s="19" t="str">
        <x:v>None</x:v>
      </x:c>
      <x:c r="D9" s="35" t="str">
        <x:v>6. Change Owner Status when a row is ready.</x:v>
      </x:c>
      <x:c r="E9" s="36"/>
      <x:c r="F9" s="37"/>
    </x:row>
    <x:row r="10">
      <x:c r="A10" s="13" t="str">
        <x:v>Model calls</x:v>
      </x:c>
      <x:c r="B10" s="14" t="n">
        <x:v>0</x:v>
      </x:c>
    </x:row>
    <x:row r="11">
      <x:c r="A11" s="15" t="str">
        <x:v>Purpose</x:v>
      </x:c>
      <x:c r="B11" s="16" t="str">
        <x:v>Owner rewrites the corpus directly</x:v>
      </x:c>
    </x:row>
    <x:row r="12">
      <x:c r="A12" t="str">
        <x:v>Generic 215 authoring</x:v>
      </x:c>
      <x:c r="B12" t="str">
        <x:v>COMPLETE</x:v>
      </x:c>
      <x:c r="C12"/>
      <x:c r="D12" t="str">
        <x:v>215/215 fallback bodies restored and mechanically compliant.</x:v>
      </x:c>
    </x:row>
    <x:row r="13">
      <x:c r="A13" t="str">
        <x:v>Planet-pair meanings</x:v>
      </x:c>
      <x:c r="B13" t="str">
        <x:v>46</x:v>
      </x:c>
      <x:c r="C13"/>
      <x:c r="D13" t="str">
        <x:v>Authored from the exact pair corpus and doctrine.</x:v>
      </x:c>
    </x:row>
    <x:row r="14" ht="32" customHeight="1">
      <x:c r="A14" s="24" t="str">
        <x:v>Aspect behaviors</x:v>
      </x:c>
      <x:c r="B14" s="25" t="str">
        <x:v>5</x:v>
      </x:c>
      <x:c r="C14" s="26"/>
      <x:c r="D14" s="24" t="str">
        <x:v>Distinct conjunction, opposition, square, trine, sextile behavior.</x:v>
      </x:c>
      <x:c r="E14" s="25"/>
      <x:c r="F14" s="26"/>
    </x:row>
    <x:row r="15">
      <x:c r="A15" s="48" t="str">
        <x:v>Planet-in-sign mechanisms</x:v>
      </x:c>
      <x:c r="B15" s="40" t="str">
        <x:v>132</x:v>
      </x:c>
      <x:c r="C15" s="41"/>
      <x:c r="D15" s="52" t="str">
        <x:v>11 bodies × 12 signs.</x:v>
      </x:c>
      <x:c r="E15" s="52"/>
      <x:c r="F15" s="52"/>
    </x:row>
    <x:row r="16">
      <x:c r="A16" s="49" t="str">
        <x:v>Runtime authoring briefs</x:v>
      </x:c>
      <x:c r="B16" s="43" t="str">
        <x:v>215</x:v>
      </x:c>
      <x:c r="C16" s="44"/>
      <x:c r="D16" s="52" t="str">
        <x:v>Every exact pair-aspect key now consumes both signs + calculated date/context.</x:v>
      </x:c>
      <x:c r="E16" s="52"/>
      <x:c r="F16" s="52"/>
    </x:row>
    <x:row r="17">
      <x:c r="A17" s="49" t="str">
        <x:v>Calculated sign/date instances</x:v>
      </x:c>
      <x:c r="B17" s="43" t="str">
        <x:v>NOT PRESENT IN SOURCE FILE</x:v>
      </x:c>
      <x:c r="C17" s="44"/>
      <x:c r="D17" s="52" t="str">
        <x:v>No sign placements, dates, or orbs were invented.</x:v>
      </x:c>
      <x:c r="E17" s="52"/>
      <x:c r="F17" s="52"/>
    </x:row>
    <x:row r="18">
      <x:c r="A18" s="49" t="str">
        <x:v>Serving effect</x:v>
      </x:c>
      <x:c r="B18" s="43" t="str">
        <x:v>NONE</x:v>
      </x:c>
      <x:c r="C18" s="44"/>
      <x:c r="D18" s="52" t="str">
        <x:v>Nothing is imported, serving, or live.</x:v>
      </x:c>
      <x:c r="E18" s="52"/>
      <x:c r="F18" s="52"/>
    </x:row>
    <x:row r="19">
      <x:c r="A19" s="49" t="str">
        <x:v>sextile</x:v>
      </x:c>
      <x:c r="B19" s="43" t="n">
        <x:f>COUNTIF('Rewrite Workspace'!$E$3:$E$217,A19)</x:f>
        <x:v>43</x:v>
      </x:c>
      <x:c r="C19" s="44" t="n">
        <x:f>B19/$B$5</x:f>
        <x:v>0.2</x:v>
      </x:c>
      <x:c r="D19" s="52"/>
      <x:c r="E19" s="52"/>
      <x:c r="F19" s="52"/>
    </x:row>
    <x:row r="20">
      <x:c r="A20" s="50" t="str">
        <x:v>quincunx</x:v>
      </x:c>
      <x:c r="B20" s="46" t="n">
        <x:f>COUNTIF('Rewrite Workspace'!$E$3:$E$217,A20)</x:f>
        <x:v>0</x:v>
      </x:c>
      <x:c r="C20" s="47" t="n">
        <x:f>B20/$B$5</x:f>
        <x:v>0</x:v>
      </x:c>
    </x:row>
  </x:sheetData>
  <x:mergeCells>
    <x:mergeCell ref="A1:F1"/>
    <x:mergeCell ref="D3:F3"/>
    <x:mergeCell ref="D4:F4"/>
    <x:mergeCell ref="D5:F5"/>
    <x:mergeCell ref="D6:F6"/>
    <x:mergeCell ref="D7:F7"/>
    <x:mergeCell ref="D8:F8"/>
    <x:mergeCell ref="D9:F9"/>
    <x:mergeCell ref="D14:F14"/>
    <x:mergeCell ref="D15:F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31" hidden="0" customWidth="1"/>
    <x:col min="4" max="4" width="15" hidden="0" customWidth="1"/>
    <x:col min="5" max="5" width="15" hidden="0" customWidth="1"/>
    <x:col min="6" max="6" width="15" hidden="0" customWidth="1"/>
    <x:col min="7" max="7" width="42" hidden="0" customWidth="1"/>
    <x:col min="8" max="8" width="65" hidden="0" customWidth="1"/>
    <x:col min="9" max="9" width="45" hidden="0" customWidth="1"/>
    <x:col min="10" max="10" width="48" hidden="0" customWidth="1"/>
    <x:col min="11" max="11" width="90" hidden="0" customWidth="1"/>
    <x:col min="12" max="12" width="58" hidden="0" customWidth="1"/>
    <x:col min="13" max="13" width="18" hidden="0" customWidth="1"/>
    <x:col min="14" max="14" width="48" hidden="0" customWidth="1"/>
    <x:col min="15" max="15" width="22" hidden="0" customWidth="1"/>
    <x:col min="16" max="16" width="15" hidden="0" customWidth="1"/>
    <x:col min="17" max="17" width="34" hidden="0" customWidth="1"/>
  </x:cols>
  <x:sheetData>
    <x:row r="1" ht="34" customHeight="1">
      <x:c r="A1" s="3" t="str">
        <x:v>Rewrite Workspace — 215 LIVE Sky Calendar Aspects</x:v>
      </x:c>
      <x:c r="J1" s="27"/>
      <x:c r="K1" s="27"/>
      <x:c r="L1" s="27"/>
      <x:c r="M1" s="27"/>
    </x:row>
    <x:row r="2" ht="32" customHeight="1">
      <x:c r="A2" s="24" t="str">
        <x:v>#</x:v>
      </x:c>
      <x:c r="B2" s="25" t="str">
        <x:v>Content Key</x:v>
      </x:c>
      <x:c r="C2" s="25" t="str">
        <x:v>Title</x:v>
      </x:c>
      <x:c r="D2" s="25" t="str">
        <x:v>Transiting</x:v>
      </x:c>
      <x:c r="E2" s="25" t="str">
        <x:v>Aspect</x:v>
      </x:c>
      <x:c r="F2" s="25" t="str">
        <x:v>Other</x:v>
      </x:c>
      <x:c r="G2" s="25" t="str">
        <x:v>Current Summary</x:v>
      </x:c>
      <x:c r="H2" s="25" t="str">
        <x:v>Current Body</x:v>
      </x:c>
      <x:c r="I2" s="25" t="str">
        <x:v>Approved Via</x:v>
      </x:c>
      <x:c r="J2" s="25" t="str">
        <x:v>Owner Rewrite Summary</x:v>
      </x:c>
      <x:c r="K2" s="25" t="str">
        <x:v>Owner Rewrite Body</x:v>
      </x:c>
      <x:c r="L2" s="25" t="str">
        <x:v>Owner Notes</x:v>
      </x:c>
      <x:c r="M2" s="25" t="str">
        <x:v>Owner Status</x:v>
      </x:c>
      <x:c r="N2" s="26" t="str">
        <x:v>Source File</x:v>
      </x:c>
      <x:c r="O2" s="68" t="str">
        <x:v>Payload SHA-256</x:v>
      </x:c>
      <x:c r="P2" s="68" t="str">
        <x:v>Batch Decision</x:v>
      </x:c>
      <x:c r="Q2" s="68" t="str">
        <x:v>Batch Exception Notes</x:v>
      </x:c>
    </x:row>
    <x:row r="3" ht="92" customHeight="1">
      <x:c r="A3" s="53" t="n">
        <x:v>1</x:v>
      </x:c>
      <x:c r="B3" s="53" t="str">
        <x:v>sky.jupiter.conjunction.neptune</x:v>
      </x:c>
      <x:c r="C3" s="53" t="str">
        <x:v>Jupiter conjunction Neptune</x:v>
      </x:c>
      <x:c r="D3" s="53" t="str">
        <x:v>jupiter</x:v>
      </x:c>
      <x:c r="E3" s="53" t="str">
        <x:v>conjunction</x:v>
      </x:c>
      <x:c r="F3" s="53" t="str">
        <x:v>neptune</x:v>
      </x:c>
      <x:c r="G3" s="53" t="str">
        <x:v>One offer is presented as relief plan, moral cause, investment, and rescue all at once.</x:v>
      </x:c>
      <x:c r="H3" s="53" t="str">
        <x:v>One offer is presented as relief plan, moral cause, investment, and rescue all at once. Money and attention pour in while the boundaries stay loose enough for every group to hear the outcome it wants. Jupiter magnifies the promise, while Neptune makes it feel compassionate, visionary, and difficult to question. Under the conjunction, belief and expansion become part of the same appeal. The generosity may be real while disappointment grows around the many different results people believed were guaranteed.</x:v>
      </x:c>
      <x:c r="I3" s="53" t="str">
        <x:v>owner-refined Sky aspect v10.1 corpus; owner direction, chat 2026-08-01</x:v>
      </x:c>
      <x:c r="J3" s="55" t="str">
        <x:v>One offer is presented as a relief plan, moral cause, investment, and rescue mission all at once.</x:v>
      </x:c>
      <x:c r="K3" s="55" t="str">
        <x:v>One offer is presented as a relief plan, moral cause, investment, and rescue mission all at once. Jupiter conjunct Neptune can make the promise feel bigger and more convincing before anyone has agreed on what the promise actually includes. Money and attention arrive quickly, but the scope stays loose enough for different people to hear different guarantees. Good intentions do not fix that mismatch. Pin down the deliverables, budget, and person responsible for the result before committing more resources to the vision.</x:v>
      </x:c>
      <x:c r="L3" s="55" t="str">
        <x:v>Completed generic pair-aspect fallback. Use only when sign/date context is unavailable.</x:v>
      </x:c>
      <x:c r="M3" s="55" t="str">
        <x:v>REVIEW READY</x:v>
      </x:c>
      <x:c r="N3" s="53" t="str">
        <x:v>packages/astro-knowledge/data/transits/jupiter-conjunction-neptune.json</x:v>
      </x:c>
      <x:c r="O3" s="71" t="str">
        <x:v>89e2f05c897c5e3cff821122e96a118768b74e6b5b7565e31c5c952bb6585719</x:v>
      </x:c>
      <x:c r="P3" s="75" t="str">
        <x:v>INCLUDE</x:v>
      </x:c>
      <x:c r="Q3" s="79" t="str"/>
    </x:row>
    <x:row r="4" ht="92" customHeight="1">
      <x:c r="A4" s="54" t="n">
        <x:v>2</x:v>
      </x:c>
      <x:c r="B4" s="54" t="str">
        <x:v>sky.jupiter.opposition.neptune</x:v>
      </x:c>
      <x:c r="C4" s="54" t="str">
        <x:v>Jupiter opposition Neptune</x:v>
      </x:c>
      <x:c r="D4" s="54" t="str">
        <x:v>jupiter</x:v>
      </x:c>
      <x:c r="E4" s="54" t="str">
        <x:v>opposition</x:v>
      </x:c>
      <x:c r="F4" s="54" t="str">
        <x:v>neptune</x:v>
      </x:c>
      <x:c r="G4" s="54" t="str">
        <x:v>The institution points to the scale of its relief effort while recipients and workers describe help that is late, uneven, or impossible to access.</x:v>
      </x:c>
      <x:c r="H4" s="54" t="str">
        <x:v>The institution points to the scale of its relief effort while recipients and workers describe help that is late, uneven, or impossible to access. One side cites money raised and people reached; the other points to the needs and communities that disappeared inside the totals. Jupiter holds the larger promise, while Neptune gives emotional power to the ideal the numbers are meant to represent. The opposition places public generosity across from the confusion and disappointment underneath it. The campaign may remain inspiring while the people closest to the work struggle to say where the promise failed.</x:v>
      </x:c>
      <x:c r="I4" s="54" t="str">
        <x:v>owner-refined Sky aspect v10.1 corpus; owner direction, chat 2026-08-01</x:v>
      </x:c>
      <x:c r="J4" s="56" t="str">
        <x:v>The institution points to the size of its relief effort while recipients and workers describe help that is late, uneven, or impossible to access.</x:v>
      </x:c>
      <x:c r="K4" s="56" t="str">
        <x:v>The institution points to the size of its relief effort while recipients and workers describe help that is late, uneven, or impossible to access. Jupiter opposite Neptune puts the public promise directly across from the experience of the people who were supposed to benefit from it. One side cites money raised and people reached; the other points to requests that disappeared inside those totals. Large numbers cannot answer a delivery problem. Pull the records and compare what was promised with what actually reached people.</x:v>
      </x:c>
      <x:c r="L4" s="56" t="str">
        <x:v>Completed generic pair-aspect fallback. Use only when sign/date context is unavailable.</x:v>
      </x:c>
      <x:c r="M4" s="56" t="str">
        <x:v>REVIEW READY</x:v>
      </x:c>
      <x:c r="N4" s="54" t="str">
        <x:v>packages/astro-knowledge/data/transits/jupiter-opposition-neptune.json</x:v>
      </x:c>
      <x:c r="O4" s="71" t="str">
        <x:v>15aededd6b70edd2dc704d042f0d234a2a77cdf672d5ca987367ebfef21c725b</x:v>
      </x:c>
      <x:c r="P4" s="75" t="str">
        <x:v>INCLUDE</x:v>
      </x:c>
      <x:c r="Q4" s="79" t="str"/>
    </x:row>
    <x:row r="5" ht="92" customHeight="1">
      <x:c r="A5" s="54" t="n">
        <x:v>3</x:v>
      </x:c>
      <x:c r="B5" s="54" t="str">
        <x:v>sky.jupiter.square.neptune</x:v>
      </x:c>
      <x:c r="C5" s="54" t="str">
        <x:v>Jupiter square Neptune</x:v>
      </x:c>
      <x:c r="D5" s="54" t="str">
        <x:v>jupiter</x:v>
      </x:c>
      <x:c r="E5" s="54" t="str">
        <x:v>square</x:v>
      </x:c>
      <x:c r="F5" s="54" t="str">
        <x:v>neptune</x:v>
      </x:c>
      <x:c r="G5" s="54" t="str">
        <x:v>An inspiring campaign attracts donors and investors before anyone can explain the budget or measure the result.</x:v>
      </x:c>
      <x:c r="H5" s="54" t="str">
        <x:v>An inspiring campaign attracts donors and investors before anyone can explain the budget or measure the result. Support rises around a sweeping claim while cost, eligibility, delivery, and responsibility remain open to several readings. Jupiter enlarges the promise and audience, while Neptune lets hope fill every blank the plan has not answered. The square keeps expansion feeding on ambiguity until questions about delivery start sounding like attacks on the cause. The vision may keep attracting belief even after supporters realize they funded different versions of the same promise.</x:v>
      </x:c>
      <x:c r="I5" s="54" t="str">
        <x:v>owner-refined Sky aspect v10.1 corpus; owner direction, chat 2026-08-01</x:v>
      </x:c>
      <x:c r="J5" s="56" t="str">
        <x:v>An inspiring campaign attracts donors and investors before anyone can explain the budget or measure the result.</x:v>
      </x:c>
      <x:c r="K5" s="56" t="str">
        <x:v>An inspiring campaign attracts donors and investors before anyone can explain the budget or measure the result. Jupiter square Neptune can make optimism fill every blank the plan has not answered yet, especially once basic questions start sounding like criticism of the cause itself. Cost, eligibility, delivery, and responsibility may still be open to several readings while support keeps growing. Excitement is not a substitute for structure. Require clear terms, timelines, and numbers before backing the next phase.</x:v>
      </x:c>
      <x:c r="L5" s="56" t="str">
        <x:v>Completed generic pair-aspect fallback. Use only when sign/date context is unavailable.</x:v>
      </x:c>
      <x:c r="M5" s="56" t="str">
        <x:v>REVIEW READY</x:v>
      </x:c>
      <x:c r="N5" s="54" t="str">
        <x:v>packages/astro-knowledge/data/transits/jupiter-square-neptune.json</x:v>
      </x:c>
      <x:c r="O5" s="71" t="str">
        <x:v>5ea459b713f076670c3cf694fd030fda84e77d78e7e49328233c527a45ab32ad</x:v>
      </x:c>
      <x:c r="P5" s="75" t="str">
        <x:v>INCLUDE</x:v>
      </x:c>
      <x:c r="Q5" s="79" t="str"/>
    </x:row>
    <x:row r="6" ht="92" customHeight="1">
      <x:c r="A6" s="54" t="n">
        <x:v>4</x:v>
      </x:c>
      <x:c r="B6" s="54" t="str">
        <x:v>sky.jupiter.trine.neptune</x:v>
      </x:c>
      <x:c r="C6" s="54" t="str">
        <x:v>Jupiter trine Neptune</x:v>
      </x:c>
      <x:c r="D6" s="54" t="str">
        <x:v>jupiter</x:v>
      </x:c>
      <x:c r="E6" s="54" t="str">
        <x:v>trine</x:v>
      </x:c>
      <x:c r="F6" s="54" t="str">
        <x:v>neptune</x:v>
      </x:c>
      <x:c r="G6" s="54" t="str">
        <x:v>Hope and imagination reinforce each other for a few days. Jupiter trine Neptune makes it easier to trust a creative idea, take a meaningful risk, or rest without treating the pause as wasted time. Inspiration helps. It is not the same thing as a finished plan.</x:v>
      </x:c>
      <x:c r="H6" s="54" t="str">
        <x:v>Hope has somewhere to go. The ambitious pitch, the creative risk, the plan that sounded too big last week can suddenly feel possible enough to begin. With {{planetA}} in {{signA}} trine {{planetB}} in {{signB}}, confidence and imagination reinforce each other: Jupiter wants the vision seen and believed in; Neptune wants it moving before doubt drains the charge.
We are more willing to trust what has not proved itself yet, which is sometimes how a brave idea gets its start. It is also how enthusiasm gets mistaken for evidence and inspiration for a finished plan. The opening is real. It still needs a structure.</x:v>
      </x:c>
      <x:c r="I6" s="54" t="str">
        <x:v>owner direction, chat 2026-08-01</x:v>
      </x:c>
      <x:c r="J6" s="56" t="str">
        <x:v>A creative risk or ambitious idea that felt too intimidating last week suddenly seems possible enough to begin.</x:v>
      </x:c>
      <x:c r="K6" s="56" t="str">
        <x:v>A creative risk or ambitious idea that felt too intimidating last week suddenly seems possible enough to begin. Jupiter trine Neptune makes it easier to trust the vision and move before doubt drains the momentum. That can be exactly what a brave idea needs, but inspiration still has to survive a calendar, a budget, and the ordinary work of finishing it. Write down the core premise while it is clear. Then build the schedule and responsibilities that can carry it.</x:v>
      </x:c>
      <x:c r="L6" s="56" t="str">
        <x:v>Completed generic pair-aspect fallback. Use only when sign/date context is unavailable.</x:v>
      </x:c>
      <x:c r="M6" s="56" t="str">
        <x:v>REVIEW READY</x:v>
      </x:c>
      <x:c r="N6" s="54" t="str">
        <x:v>packages/astro-knowledge/data/transits/jupiter-trine-neptune.json</x:v>
      </x:c>
      <x:c r="O6" s="71" t="str">
        <x:v>0edf7724dfd1c0827e648f47ed4a7bfb34f7235269ab6965d9e2a80d220f8e59</x:v>
      </x:c>
      <x:c r="P6" s="75" t="str">
        <x:v>INCLUDE</x:v>
      </x:c>
      <x:c r="Q6" s="79" t="str"/>
    </x:row>
    <x:row r="7" ht="92" customHeight="1">
      <x:c r="A7" s="54" t="n">
        <x:v>5</x:v>
      </x:c>
      <x:c r="B7" s="54" t="str">
        <x:v>sky.jupiter.sextile.neptune</x:v>
      </x:c>
      <x:c r="C7" s="54" t="str">
        <x:v>Jupiter sextile Neptune</x:v>
      </x:c>
      <x:c r="D7" s="54" t="str">
        <x:v>jupiter</x:v>
      </x:c>
      <x:c r="E7" s="54" t="str">
        <x:v>sextile</x:v>
      </x:c>
      <x:c r="F7" s="54" t="str">
        <x:v>neptune</x:v>
      </x:c>
      <x:c r="G7" s="54" t="str">
        <x:v>A compassionate idea reaches the institution capable of funding a first real response.</x:v>
      </x:c>
      <x:c r="H7" s="54" t="str">
        <x:v>A compassionate idea reaches the institution capable of funding a first real response. Someone turns broad concern into a grant, shelter plan, relief payment, or public appeal with a clear beneficiary and immediate use. Jupiter widens the support, while Neptune keeps the larger need and moral purpose visible. The sextile opens a route from belief to material help, but someone still has to give the generosity a destination. The response gains credibility because hope arrives with an address, budget, and person responsible for delivery.</x:v>
      </x:c>
      <x:c r="I7" s="54" t="str">
        <x:v>owner-refined Sky aspect v10.1 corpus; owner direction, chat 2026-08-01</x:v>
      </x:c>
      <x:c r="J7" s="56" t="str">
        <x:v>A compassionate idea reaches the person or institution capable of funding a first practical response.</x:v>
      </x:c>
      <x:c r="K7" s="56" t="str">
        <x:v>A compassionate idea reaches the person or institution capable of funding a first practical response. Jupiter sextile Neptune can connect a larger vision with the money, audience, or support needed to give it form. A grant, shelter plan, relief payment, or public appeal works because the beneficiary and immediate use are clear. Hope becomes more credible when it has an address and a person responsible for delivery. Use the opening to fund one defined need instead of trying to solve everything at once.</x:v>
      </x:c>
      <x:c r="L7" s="56" t="str">
        <x:v>Completed generic pair-aspect fallback. Use only when sign/date context is unavailable.</x:v>
      </x:c>
      <x:c r="M7" s="56" t="str">
        <x:v>REVIEW READY</x:v>
      </x:c>
      <x:c r="N7" s="54" t="str">
        <x:v>packages/astro-knowledge/data/transits/jupiter-sextile-neptune.json</x:v>
      </x:c>
      <x:c r="O7" s="71" t="str">
        <x:v>714db3dff2f8a21e07a392a54feb256d42df7395b888ec33260109af85ad2c06</x:v>
      </x:c>
      <x:c r="P7" s="75" t="str">
        <x:v>INCLUDE</x:v>
      </x:c>
      <x:c r="Q7" s="79" t="str"/>
    </x:row>
    <x:row r="8" ht="92" customHeight="1">
      <x:c r="A8" s="54" t="n">
        <x:v>6</x:v>
      </x:c>
      <x:c r="B8" s="54" t="str">
        <x:v>sky.jupiter.conjunction.pluto</x:v>
      </x:c>
      <x:c r="C8" s="54" t="str">
        <x:v>Jupiter conjunction Pluto</x:v>
      </x:c>
      <x:c r="D8" s="54" t="str">
        <x:v>jupiter</x:v>
      </x:c>
      <x:c r="E8" s="54" t="str">
        <x:v>conjunction</x:v>
      </x:c>
      <x:c r="F8" s="54" t="str">
        <x:v>pluto</x:v>
      </x:c>
      <x:c r="G8" s="54" t="str">
        <x:v>A major acquisition puts more money, data, and decision-making power under one roof overnight.</x:v>
      </x:c>
      <x:c r="H8" s="54" t="str">
        <x:v>A major acquisition puts more money, data, and decision-making power under one roof overnight. The institution gains reach quickly enough to reshape prices, access, or the choices available across an entire field. Jupiter increases the scale and legitimacy, while Pluto deepens control over resources and consequence. Under the conjunction, expansion and concentration become the same institutional move. The deal may create real capacity while showing everyone else how few alternatives remain outside it.</x:v>
      </x:c>
      <x:c r="I8" s="54" t="str">
        <x:v>owner-refined Sky aspect v10.1 corpus; owner direction, chat 2026-08-01</x:v>
      </x:c>
      <x:c r="J8" s="56" t="str">
        <x:v>A major acquisition puts more money, data, and decision-making power under one roof overnight.</x:v>
      </x:c>
      <x:c r="K8" s="56" t="str">
        <x:v>A major acquisition puts more money, data, and decision-making power under one roof overnight. Jupiter conjunct Pluto can expand an institution at the same time it concentrates control over prices, access, or the choices available across an entire field. The deal may create new resources, but it also makes the alternatives outside the larger structure easier to see. Growth is not neutral when the same move decides who gets to participate. Read the new terms closely and identify who gained authority before assuming bigger means better.</x:v>
      </x:c>
      <x:c r="L8" s="56" t="str">
        <x:v>Completed generic pair-aspect fallback. Use only when sign/date context is unavailable.</x:v>
      </x:c>
      <x:c r="M8" s="56" t="str">
        <x:v>REVIEW READY</x:v>
      </x:c>
      <x:c r="N8" s="54" t="str">
        <x:v>packages/astro-knowledge/data/transits/jupiter-conjunction-pluto.json</x:v>
      </x:c>
      <x:c r="O8" s="71" t="str">
        <x:v>6ec548dae6e16c80a94893dd05179b86d06842598d409e55d55ddeb2de541dce</x:v>
      </x:c>
      <x:c r="P8" s="75" t="str">
        <x:v>INCLUDE</x:v>
      </x:c>
      <x:c r="Q8" s="79" t="str"/>
    </x:row>
    <x:row r="9" ht="92" customHeight="1">
      <x:c r="A9" s="54" t="n">
        <x:v>7</x:v>
      </x:c>
      <x:c r="B9" s="54" t="str">
        <x:v>sky.jupiter.opposition.pluto</x:v>
      </x:c>
      <x:c r="C9" s="54" t="str">
        <x:v>Jupiter opposition Pluto</x:v>
      </x:c>
      <x:c r="D9" s="54" t="str">
        <x:v>jupiter</x:v>
      </x:c>
      <x:c r="E9" s="54" t="str">
        <x:v>opposition</x:v>
      </x:c>
      <x:c r="F9" s="54" t="str">
        <x:v>pluto</x:v>
      </x:c>
      <x:c r="G9" s="54" t="str">
        <x:v>The institution promising broader opportunity faces the people documenting how expansion has narrowed their choices.</x:v>
      </x:c>
      <x:c r="H9" s="54" t="str">
        <x:v>The institution promising broader opportunity faces the people documenting how expansion has narrowed their choices. One side points to investment, reach, and total growth; the other points to consolidated ownership, higher prices, and access controlled by fewer hands. Jupiter holds the public promise of more, while Pluto reveals where power has collected as the system expanded. The opposition places opportunity across from concentration without allowing large numbers to settle the argument. The expansion may create real capacity, but it also shows how few alternatives remain for anyone unwilling to accept the winning structure's terms.</x:v>
      </x:c>
      <x:c r="I9" s="54" t="str">
        <x:v>owner-refined Sky aspect v10.1 corpus; owner direction, chat 2026-08-01</x:v>
      </x:c>
      <x:c r="J9" s="56" t="str">
        <x:v>The institution promising broader opportunity faces the people documenting how the expansion narrowed their choices.</x:v>
      </x:c>
      <x:c r="K9" s="56" t="str">
        <x:v>The institution promising broader opportunity faces the people documenting how the expansion narrowed their choices. Jupiter opposite Pluto makes the contradiction hard to smooth over with totals: investment may rise while ownership consolidates, prices climb, or access moves into fewer hands. One side can point to growth; the other can point to who now controls the door. Both facts matter. Compare the new reach with the new concentration of power before accepting the expansion as proof of progress.</x:v>
      </x:c>
      <x:c r="L9" s="56" t="str">
        <x:v>Completed generic pair-aspect fallback. Use only when sign/date context is unavailable.</x:v>
      </x:c>
      <x:c r="M9" s="56" t="str">
        <x:v>REVIEW READY</x:v>
      </x:c>
      <x:c r="N9" s="54" t="str">
        <x:v>packages/astro-knowledge/data/transits/jupiter-opposition-pluto.json</x:v>
      </x:c>
      <x:c r="O9" s="71" t="str">
        <x:v>a61a7d4082b037dc1fb53c2e83bcf50b271992e37755f19dfd3f95671b1310fe</x:v>
      </x:c>
      <x:c r="P9" s="75" t="str">
        <x:v>INCLUDE</x:v>
      </x:c>
      <x:c r="Q9" s="79" t="str"/>
    </x:row>
    <x:row r="10" ht="92" customHeight="1">
      <x:c r="A10" s="54" t="n">
        <x:v>8</x:v>
      </x:c>
      <x:c r="B10" s="54" t="str">
        <x:v>sky.jupiter.square.pluto</x:v>
      </x:c>
      <x:c r="C10" s="54" t="str">
        <x:v>Jupiter square Pluto</x:v>
      </x:c>
      <x:c r="D10" s="54" t="str">
        <x:v>jupiter</x:v>
      </x:c>
      <x:c r="E10" s="54" t="str">
        <x:v>square</x:v>
      </x:c>
      <x:c r="F10" s="54" t="str">
        <x:v>pluto</x:v>
      </x:c>
      <x:c r="G10" s="54" t="str">
        <x:v>A celebrated expansion concentrates more money and influence inside the institutions already strong enough to set the terms.</x:v>
      </x:c>
      <x:c r="H10" s="54" t="str">
        <x:v>A celebrated expansion concentrates more money and influence inside the institutions already strong enough to set the terms. A merger, funding round, or market win is presented as opportunity while workers, competitors, and smaller participants lose access. Jupiter enlarges the reach and confidence, while Pluto tightens control over who can benefit. The square makes every sign of growth increase the power imbalance hiding underneath it. The numbers may look impressive while the system becomes harder to challenge from anywhere outside the winning structure.</x:v>
      </x:c>
      <x:c r="I10" s="54" t="str">
        <x:v>owner-refined Sky aspect v10.1 corpus; owner direction, chat 2026-08-01</x:v>
      </x:c>
      <x:c r="J10" s="56" t="str">
        <x:v>A celebrated expansion concentrates more money and influence inside the institutions already strong enough to set the terms.</x:v>
      </x:c>
      <x:c r="K10" s="56" t="str">
        <x:v>A celebrated expansion concentrates more money and influence inside the institutions already strong enough to set the terms. Jupiter square Pluto can turn each new win into another increase in bargaining power, making it harder for workers, competitors, or smaller participants to negotiate from the outside. The numbers may look impressive while the structure becomes less contestable. That is the pressure point. Track who lost access, leverage, or alternatives as the organization grew, not only how much the organization gained.</x:v>
      </x:c>
      <x:c r="L10" s="56" t="str">
        <x:v>Completed generic pair-aspect fallback. Use only when sign/date context is unavailable.</x:v>
      </x:c>
      <x:c r="M10" s="56" t="str">
        <x:v>REVIEW READY</x:v>
      </x:c>
      <x:c r="N10" s="54" t="str">
        <x:v>packages/astro-knowledge/data/transits/jupiter-square-pluto.json</x:v>
      </x:c>
      <x:c r="O10" s="71" t="str">
        <x:v>8c3f006ebfe30022a28c9aa22eabfd351f3b76467c600e055a7bdf1daa125c9f</x:v>
      </x:c>
      <x:c r="P10" s="75" t="str">
        <x:v>INCLUDE</x:v>
      </x:c>
      <x:c r="Q10" s="79" t="str"/>
    </x:row>
    <x:row r="11" ht="92" customHeight="1">
      <x:c r="A11" s="54" t="n">
        <x:v>9</x:v>
      </x:c>
      <x:c r="B11" s="54" t="str">
        <x:v>sky.jupiter.trine.pluto</x:v>
      </x:c>
      <x:c r="C11" s="54" t="str">
        <x:v>Jupiter trine Pluto</x:v>
      </x:c>
      <x:c r="D11" s="54" t="str">
        <x:v>jupiter</x:v>
      </x:c>
      <x:c r="E11" s="54" t="str">
        <x:v>trine</x:v>
      </x:c>
      <x:c r="F11" s="54" t="str">
        <x:v>pluto</x:v>
      </x:c>
      <x:c r="G11" s="54" t="str">
        <x:v>Funding and final authority move toward the communities a reform claims it was built to serve.</x:v>
      </x:c>
      <x:c r="H11" s="54" t="str">
        <x:v>Funding and final authority move toward the communities a reform claims it was built to serve. Budgets change, records open, or ownership shifts far enough for the named beneficiaries to influence the result. Jupiter supplies scale and institutional backing, while Pluto changes who controls the resources and final terms. Under the trine, opportunity and power move together without stopping at symbolic inclusion. The reform reaches beyond publicity because the transfer is visible in money, access, and decision-making authority.</x:v>
      </x:c>
      <x:c r="I11" s="54" t="str">
        <x:v>owner-refined Sky aspect v10.1 corpus; owner direction, chat 2026-08-01</x:v>
      </x:c>
      <x:c r="J11" s="56" t="str">
        <x:v>Funding and final authority move toward the people a reform claims it was built to serve.</x:v>
      </x:c>
      <x:c r="K11" s="56" t="str">
        <x:v>Funding and final authority move toward the people a reform claims it was built to serve. Jupiter trine Pluto can help institutional backing reach the deeper structure of a problem, so budgets change, records open, or ownership shifts instead of stopping at symbolic inclusion. The result matters because the people named as beneficiaries can influence the outcome. This is where scale becomes useful. Put the transfer in contracts, budgets, and decision rights so the change survives the people currently willing to support it.</x:v>
      </x:c>
      <x:c r="L11" s="56" t="str">
        <x:v>Completed generic pair-aspect fallback. Use only when sign/date context is unavailable.</x:v>
      </x:c>
      <x:c r="M11" s="56" t="str">
        <x:v>REVIEW READY</x:v>
      </x:c>
      <x:c r="N11" s="54" t="str">
        <x:v>packages/astro-knowledge/data/transits/jupiter-trine-pluto.json</x:v>
      </x:c>
      <x:c r="O11" s="71" t="str">
        <x:v>2e054e9c50bc6e07320334ddc2454fbff4c1691ce7ae119c3d35676d4c29e23a</x:v>
      </x:c>
      <x:c r="P11" s="75" t="str">
        <x:v>INCLUDE</x:v>
      </x:c>
      <x:c r="Q11" s="79" t="str"/>
    </x:row>
    <x:row r="12" ht="92" customHeight="1">
      <x:c r="A12" s="54" t="n">
        <x:v>10</x:v>
      </x:c>
      <x:c r="B12" s="54" t="str">
        <x:v>sky.jupiter.sextile.pluto</x:v>
      </x:c>
      <x:c r="C12" s="54" t="str">
        <x:v>Jupiter sextile Pluto</x:v>
      </x:c>
      <x:c r="D12" s="54" t="str">
        <x:v>jupiter</x:v>
      </x:c>
      <x:c r="E12" s="54" t="str">
        <x:v>sextile</x:v>
      </x:c>
      <x:c r="F12" s="54" t="str">
        <x:v>pluto</x:v>
      </x:c>
      <x:c r="G12" s="54" t="str">
        <x:v>A reform receives enough backing to change who controls a meaningful part of the system.</x:v>
      </x:c>
      <x:c r="H12" s="54" t="str">
        <x:v>A reform receives enough backing to change who controls a meaningful part of the system. Someone uses the funding, legal authority, or public pressure to open records, shift ownership, or move decision-making closer to the people affected. Jupiter brings scale and legitimacy, while Pluto reveals where power has to move for the promise to matter. The sextile opens a route toward structural change, but someone still has to transfer real authority. The reform gains trust because the first result can be seen in access, money, and who gets the final word.</x:v>
      </x:c>
      <x:c r="I12" s="54" t="str">
        <x:v>owner-refined Sky aspect v10.1 corpus; owner direction, chat 2026-08-01</x:v>
      </x:c>
      <x:c r="J12" s="56" t="str">
        <x:v>A reform receives enough backing to change who controls a meaningful part of the system.</x:v>
      </x:c>
      <x:c r="K12" s="56" t="str">
        <x:v>A reform receives enough backing to change who controls a meaningful part of the system. Jupiter sextile Pluto can give a practical proposal the funding, legal authority, or public pressure needed to move power rather than simply announce better intentions. One opened record, changed approval process, or transfer of ownership can make the first result visible. Do not let the opportunity end at access to the meeting. Use it to change who has the final word.</x:v>
      </x:c>
      <x:c r="L12" s="56" t="str">
        <x:v>Completed generic pair-aspect fallback. Use only when sign/date context is unavailable.</x:v>
      </x:c>
      <x:c r="M12" s="56" t="str">
        <x:v>REVIEW READY</x:v>
      </x:c>
      <x:c r="N12" s="54" t="str">
        <x:v>packages/astro-knowledge/data/transits/jupiter-sextile-pluto.json</x:v>
      </x:c>
      <x:c r="O12" s="71" t="str">
        <x:v>1725aade68b15b33021979e7b4e5813fefb4fa90b06461947b68f4a7deec37fc</x:v>
      </x:c>
      <x:c r="P12" s="75" t="str">
        <x:v>INCLUDE</x:v>
      </x:c>
      <x:c r="Q12" s="79" t="str"/>
    </x:row>
    <x:row r="13" ht="92" customHeight="1">
      <x:c r="A13" s="54" t="n">
        <x:v>11</x:v>
      </x:c>
      <x:c r="B13" s="54" t="str">
        <x:v>sky.jupiter.conjunction.saturn</x:v>
      </x:c>
      <x:c r="C13" s="54" t="str">
        <x:v>Jupiter conjunction Saturn</x:v>
      </x:c>
      <x:c r="D13" s="54" t="str">
        <x:v>jupiter</x:v>
      </x:c>
      <x:c r="E13" s="54" t="str">
        <x:v>conjunction</x:v>
      </x:c>
      <x:c r="F13" s="54" t="str">
        <x:v>saturn</x:v>
      </x:c>
      <x:c r="G13" s="54" t="str">
        <x:v>A major milestone or expanding movement arrives with a heavy stack of new rules.</x:v>
      </x:c>
      <x:c r="H13" s="54" t="str">
        <x:v>A major milestone or expanding movement arrives with a heavy stack of new rules. A contract, grant, or group initiative brings wider reach and authority while tying every participant to compliance, oversight, and a longer commitment. Jupiter increases the scale and opportunity, while Saturn defines the structure everyone must follow. Under the conjunction, growth and restriction arrive as the same system. The collective may gain momentum while individual flexibility is squeezed by what the larger operation requires.</x:v>
      </x:c>
      <x:c r="I13" s="54" t="str">
        <x:v>owner-refined Sky aspect v10.1 corpus; owner direction, chat 2026-08-01</x:v>
      </x:c>
      <x:c r="J13" s="56" t="str">
        <x:v>A major milestone or expanding movement arrives with a heavier stack of rules.</x:v>
      </x:c>
      <x:c r="K13" s="56" t="str">
        <x:v>A major milestone or expanding movement arrives with a heavier stack of rules. Jupiter conjunct Saturn can make the opportunity and the obligation part of the same package: more reach, more authority, and more people to serve also mean more compliance, oversight, and responsibility. The growth may be worth it, but the fine print is not separate from the opportunity. Read the duties with the same attention given to the opportunity itself. The staff, budget, and authority still have to match what the larger role now requires.</x:v>
      </x:c>
      <x:c r="L13" s="56" t="str">
        <x:v>Completed generic pair-aspect fallback. Use only when sign/date context is unavailable.</x:v>
      </x:c>
      <x:c r="M13" s="56" t="str">
        <x:v>REVIEW READY</x:v>
      </x:c>
      <x:c r="N13" s="54" t="str">
        <x:v>packages/astro-knowledge/data/transits/jupiter-conjunction-saturn.json</x:v>
      </x:c>
      <x:c r="O13" s="71" t="str">
        <x:v>c2f0030bb252b7aeb1529aed324ea8071a7b8734eea2de00b35d3fe3dbaa8d22</x:v>
      </x:c>
      <x:c r="P13" s="75" t="str">
        <x:v>INCLUDE</x:v>
      </x:c>
      <x:c r="Q13" s="79" t="str"/>
    </x:row>
    <x:row r="14" ht="92" customHeight="1">
      <x:c r="A14" s="54" t="n">
        <x:v>12</x:v>
      </x:c>
      <x:c r="B14" s="54" t="str">
        <x:v>sky.jupiter.opposition.saturn</x:v>
      </x:c>
      <x:c r="C14" s="54" t="str">
        <x:v>Jupiter opposition Saturn</x:v>
      </x:c>
      <x:c r="D14" s="54" t="str">
        <x:v>jupiter</x:v>
      </x:c>
      <x:c r="E14" s="54" t="str">
        <x:v>opposition</x:v>
      </x:c>
      <x:c r="F14" s="54" t="str">
        <x:v>saturn</x:v>
      </x:c>
      <x:c r="G14" s="54" t="str">
        <x:v>An organization advertises sweeping opportunity while the fine print tells a different story.</x:v>
      </x:c>
      <x:c r="H14" s="54" t="str">
        <x:v>An organization advertises sweeping opportunity while the fine print tells a different story. The campaign promises rapid expansion and easy results, but budgets, compliance rules, or existing debts make delivery far more restricted than the headline suggests. Jupiter spreads the optimistic promise, while Saturn upholds the institutional limit the promise still has to survive. The opposition places the expansive public story across from the conditions that narrow who can actually benefit. Even after the official numbers are released, the easier promise may keep outrunning the version people can verify.</x:v>
      </x:c>
      <x:c r="I14" s="54" t="str">
        <x:v>owner-refined Sky aspect v10.1 corpus; owner direction, chat 2026-08-01</x:v>
      </x:c>
      <x:c r="J14" s="56" t="str">
        <x:v>An organization advertises sweeping opportunity while the fine print tells a much narrower story.</x:v>
      </x:c>
      <x:c r="K14" s="56" t="str">
        <x:v>An organization advertises sweeping opportunity while the fine print tells a much narrower story. Jupiter opposite Saturn puts the promise of more directly against the limits deciding who can actually receive it. Eligibility rules, debt, staffing, or legal obligations may exclude the same people the headline appears to invite. The contradiction is not solved by repeating the mission statement. Compare the public promise with the requirements people must meet in practice before calling the program accessible.</x:v>
      </x:c>
      <x:c r="L14" s="56" t="str">
        <x:v>Completed generic pair-aspect fallback. Use only when sign/date context is unavailable.</x:v>
      </x:c>
      <x:c r="M14" s="56" t="str">
        <x:v>REVIEW READY</x:v>
      </x:c>
      <x:c r="N14" s="54" t="str">
        <x:v>packages/astro-knowledge/data/transits/jupiter-opposition-saturn.json</x:v>
      </x:c>
      <x:c r="O14" s="71" t="str">
        <x:v>a9c949e1c8904d1dd586584263e908c6bd9060654e6e777b06d0daa8cc7c11ff</x:v>
      </x:c>
      <x:c r="P14" s="75" t="str">
        <x:v>INCLUDE</x:v>
      </x:c>
      <x:c r="Q14" s="79" t="str"/>
    </x:row>
    <x:row r="15" ht="92" customHeight="1">
      <x:c r="A15" s="54" t="n">
        <x:v>13</x:v>
      </x:c>
      <x:c r="B15" s="54" t="str">
        <x:v>sky.jupiter.square.saturn</x:v>
      </x:c>
      <x:c r="C15" s="54" t="str">
        <x:v>Jupiter square Saturn</x:v>
      </x:c>
      <x:c r="D15" s="54" t="str">
        <x:v>jupiter</x:v>
      </x:c>
      <x:c r="E15" s="54" t="str">
        <x:v>square</x:v>
      </x:c>
      <x:c r="F15" s="54" t="str">
        <x:v>saturn</x:v>
      </x:c>
      <x:c r="G15" s="54" t="str">
        <x:v>A major expansion is announced before the institution resolves the debts, rules, or staffing limits already slowing the existing program.</x:v>
      </x:c>
      <x:c r="H15" s="54" t="str">
        <x:v>A major expansion is announced before the institution resolves the debts, rules, or staffing limits already slowing the existing program. Leadership keeps pointing to demand and opportunity, while every new participant adds pressure to a structure that cannot meet its current obligations. Jupiter enlarges the promise, while Saturn enforces the limits expansion cannot outrun forever. The square turns each new success into proof that the foundation needs more than optimism. The program may keep growing, but the people inside it carry the consequences of every repair postponed to protect momentum.</x:v>
      </x:c>
      <x:c r="I15" s="54" t="str">
        <x:v>owner-refined Sky aspect v10.1 corpus; owner direction, chat 2026-08-01</x:v>
      </x:c>
      <x:c r="J15" s="56" t="str">
        <x:v>A major expansion is announced before the institution resolves the debts, rules, or staffing limits already slowing the work.</x:v>
      </x:c>
      <x:c r="K15" s="56" t="str">
        <x:v>A major expansion is announced before the institution resolves the debts, rules, or staffing limits already slowing the work. Jupiter square Saturn can make the desire to grow collide with the structure that has to support every new promise. More locations, users, or responsibilities do not fix an old bottleneck; they usually make it more expensive. The deadline is not proof that the organization can carry another layer. Resolve the limit that keeps repeating before adding more volume to the system.</x:v>
      </x:c>
      <x:c r="L15" s="56" t="str">
        <x:v>Completed generic pair-aspect fallback. Use only when sign/date context is unavailable.</x:v>
      </x:c>
      <x:c r="M15" s="56" t="str">
        <x:v>REVIEW READY</x:v>
      </x:c>
      <x:c r="N15" s="54" t="str">
        <x:v>packages/astro-knowledge/data/transits/jupiter-square-saturn.json</x:v>
      </x:c>
      <x:c r="O15" s="71" t="str">
        <x:v>69d0688ef7f2a9024b1dae02b0da51ac20087188c5dad596a92cd63a9743fc85</x:v>
      </x:c>
      <x:c r="P15" s="75" t="str">
        <x:v>INCLUDE</x:v>
      </x:c>
      <x:c r="Q15" s="79" t="str"/>
    </x:row>
    <x:row r="16" ht="92" customHeight="1">
      <x:c r="A16" s="54" t="n">
        <x:v>14</x:v>
      </x:c>
      <x:c r="B16" s="54" t="str">
        <x:v>sky.jupiter.trine.saturn</x:v>
      </x:c>
      <x:c r="C16" s="54" t="str">
        <x:v>Jupiter trine Saturn</x:v>
      </x:c>
      <x:c r="D16" s="54" t="str">
        <x:v>jupiter</x:v>
      </x:c>
      <x:c r="E16" s="54" t="str">
        <x:v>trine</x:v>
      </x:c>
      <x:c r="F16" s="54" t="str">
        <x:v>saturn</x:v>
      </x:c>
      <x:c r="G16" s="54" t="str">
        <x:v>The grant covers staff and operating costs, giving the new program a life beyond its opening event.</x:v>
      </x:c>
      <x:c r="H16" s="54" t="str">
        <x:v>The grant covers staff and operating costs, giving the new program a life beyond its opening event. Training, oversight, a delivery schedule, and a responsible office arrive with the expansion instead of months behind it. Jupiter widens the reach, while Saturn builds the structure required to keep the promise running. Under the trine, growth and responsibility reinforce each other without turning success into another unfunded job. The opportunity can last because the people already carrying the work are not treated as the missing budget.</x:v>
      </x:c>
      <x:c r="I16" s="54" t="str">
        <x:v>owner-refined Sky aspect v10.1 corpus; owner direction, chat 2026-08-01</x:v>
      </x:c>
      <x:c r="J16" s="56" t="str">
        <x:v>The grant covers staff and operating costs, giving a new program a life beyond the launch announcement.</x:v>
      </x:c>
      <x:c r="K16" s="56" t="str">
        <x:v>The grant covers staff and operating costs, giving a new program a life beyond the launch announcement. Jupiter trine Saturn can make growth easier to sustain because the opportunity arrives with enough structure to support it. Hiring, schedules, reporting, and long-term funding are what keep the idea from disappearing after the first wave of attention. Use the support to build those ordinary systems now. A program lasts because somebody planned for month six as carefully as opening day.</x:v>
      </x:c>
      <x:c r="L16" s="56" t="str">
        <x:v>Completed generic pair-aspect fallback. Use only when sign/date context is unavailable.</x:v>
      </x:c>
      <x:c r="M16" s="56" t="str">
        <x:v>REVIEW READY</x:v>
      </x:c>
      <x:c r="N16" s="54" t="str">
        <x:v>packages/astro-knowledge/data/transits/jupiter-trine-saturn.json</x:v>
      </x:c>
      <x:c r="O16" s="71" t="str">
        <x:v>c52c61d9469a01749a838f9ccb3c3309443fcfe3cef7c942a00fc8fee0af7c18</x:v>
      </x:c>
      <x:c r="P16" s="75" t="str">
        <x:v>INCLUDE</x:v>
      </x:c>
      <x:c r="Q16" s="79" t="str"/>
    </x:row>
    <x:row r="17" ht="92" customHeight="1">
      <x:c r="A17" s="54" t="n">
        <x:v>15</x:v>
      </x:c>
      <x:c r="B17" s="54" t="str">
        <x:v>sky.jupiter.sextile.saturn</x:v>
      </x:c>
      <x:c r="C17" s="54" t="str">
        <x:v>Jupiter sextile Saturn</x:v>
      </x:c>
      <x:c r="D17" s="54" t="str">
        <x:v>jupiter</x:v>
      </x:c>
      <x:c r="E17" s="54" t="str">
        <x:v>sextile</x:v>
      </x:c>
      <x:c r="F17" s="54" t="str">
        <x:v>saturn</x:v>
      </x:c>
      <x:c r="G17" s="54" t="str">
        <x:v>A promising program receives conditional backing that can turn it into a lasting operation.</x:v>
      </x:c>
      <x:c r="H17" s="54" t="str">
        <x:v>A promising program receives conditional backing that can turn it into a lasting operation. Someone secures the oversight, staff, or delivery schedule required to move the grant beyond its launch announcement. Jupiter widens the reach and ambition, while Saturn defines the structure the promise must survive. The sextile opens a path toward responsible growth, but someone still has to build the support around the opportunity. The program gains a future because expansion is attached to a clear office, budget, and chain of responsibility.</x:v>
      </x:c>
      <x:c r="I17" s="54" t="str">
        <x:v>owner-refined Sky aspect v10.1 corpus; owner direction, chat 2026-08-01</x:v>
      </x:c>
      <x:c r="J17" s="56" t="str">
        <x:v>A promising program receives conditional backing that can turn it into something lasting.</x:v>
      </x:c>
      <x:c r="K17" s="56" t="str">
        <x:v>A promising program receives conditional backing that can turn it into something lasting. Jupiter sextile Saturn gives the expansion a workable route through the rules: revise the budget, meet the reporting requirement, narrow the scope, or secure the person responsible for delivery. The opportunity comes with proof requirements because the structure has to carry what is being promised. Treat those conditions as design information. Meet the requirement that matters and leave the parts that do not need to grow alone.</x:v>
      </x:c>
      <x:c r="L17" s="56" t="str">
        <x:v>Completed generic pair-aspect fallback. Use only when sign/date context is unavailable.</x:v>
      </x:c>
      <x:c r="M17" s="56" t="str">
        <x:v>REVIEW READY</x:v>
      </x:c>
      <x:c r="N17" s="54" t="str">
        <x:v>packages/astro-knowledge/data/transits/jupiter-sextile-saturn.json</x:v>
      </x:c>
      <x:c r="O17" s="71" t="str">
        <x:v>66465caf035d7e266617125c5ac56346d4af297391f8a8698e9154f96336df2a</x:v>
      </x:c>
      <x:c r="P17" s="75" t="str">
        <x:v>INCLUDE</x:v>
      </x:c>
      <x:c r="Q17" s="79" t="str"/>
    </x:row>
    <x:row r="18" ht="92" customHeight="1">
      <x:c r="A18" s="54" t="n">
        <x:v>16</x:v>
      </x:c>
      <x:c r="B18" s="54" t="str">
        <x:v>sky.jupiter.conjunction.uranus</x:v>
      </x:c>
      <x:c r="C18" s="54" t="str">
        <x:v>Jupiter conjunction Uranus</x:v>
      </x:c>
      <x:c r="D18" s="54" t="str">
        <x:v>jupiter</x:v>
      </x:c>
      <x:c r="E18" s="54" t="str">
        <x:v>conjunction</x:v>
      </x:c>
      <x:c r="F18" s="54" t="str">
        <x:v>uranus</x:v>
      </x:c>
      <x:c r="G18" s="54" t="str">
        <x:v>A sudden shift in pricing, technology, or markets opens the door to a lucrative new trend.</x:v>
      </x:c>
      <x:c r="H18" s="54" t="str">
        <x:v>A sudden shift in pricing, technology, or markets opens the door to a lucrative new trend. Public excitement surges around a financial model, product, or property deal before the rules catch up. Jupiter expands the appetite for more, while Uranus abruptly changes the system governing cost, access, or ownership. Under the conjunction, growth and disruption accelerate each other before anyone can establish a limit. The shift may offer greater freedom to early adopters while rattling everyone who counted on the old system staying the same.</x:v>
      </x:c>
      <x:c r="I18" s="54" t="str">
        <x:v>owner-refined Sky aspect v10.1 corpus; owner direction, chat 2026-08-01</x:v>
      </x:c>
      <x:c r="J18" s="56" t="str">
        <x:v>A sudden shift in pricing, technology, or markets opens a much larger opportunity than anyone expected.</x:v>
      </x:c>
      <x:c r="K18" s="56" t="str">
        <x:v>A sudden shift in pricing, technology, or markets opens a much larger opportunity than anyone expected. Jupiter conjunct Uranus can make the breakthrough and the rush to expand happen almost at the same time, which is exciting right up until supply, staffing, or regulation falls behind. Early access can feel like proof that the new model has no downside. It does not. Move fast enough to use the opening, but keep a backup for the people who will be stranded if the first version fails.</x:v>
      </x:c>
      <x:c r="L18" s="56" t="str">
        <x:v>Completed generic pair-aspect fallback. Use only when sign/date context is unavailable.</x:v>
      </x:c>
      <x:c r="M18" s="56" t="str">
        <x:v>REVIEW READY</x:v>
      </x:c>
      <x:c r="N18" s="54" t="str">
        <x:v>packages/astro-knowledge/data/transits/jupiter-conjunction-uranus.json</x:v>
      </x:c>
      <x:c r="O18" s="71" t="str">
        <x:v>7938c2690f17c1fbc5b0bf5f616cb2cdcf48c59ab959b52d92b32ed261510bd3</x:v>
      </x:c>
      <x:c r="P18" s="75" t="str">
        <x:v>INCLUDE</x:v>
      </x:c>
      <x:c r="Q18" s="79" t="str"/>
    </x:row>
    <x:row r="19" ht="92" customHeight="1">
      <x:c r="A19" s="54" t="n">
        <x:v>17</x:v>
      </x:c>
      <x:c r="B19" s="54" t="str">
        <x:v>sky.jupiter.opposition.uranus</x:v>
      </x:c>
      <x:c r="C19" s="54" t="str">
        <x:v>Jupiter opposition Uranus</x:v>
      </x:c>
      <x:c r="D19" s="54" t="str">
        <x:v>jupiter</x:v>
      </x:c>
      <x:c r="E19" s="54" t="str">
        <x:v>opposition</x:v>
      </x:c>
      <x:c r="F19" s="54" t="str">
        <x:v>uranus</x:v>
      </x:c>
      <x:c r="G19" s="54" t="str">
        <x:v>The people celebrating rapid innovation face the communities dealing with its costs.</x:v>
      </x:c>
      <x:c r="H19" s="54" t="str">
        <x:v>The people celebrating rapid innovation face the communities dealing with its costs. One side points to access, opportunity, and a market that cannot be slowed; the other points to displacement, unstable prices, lost work, and rules that arrived after the damage. Jupiter holds the promise of expansion, while Uranus gives the break from the old system enough force to make reversal unlikely. The opposition places new freedom across from the people whose stability financed it. The reform may continue, but the argument reveals who was included in the future and who was simply expected to adjust.</x:v>
      </x:c>
      <x:c r="I19" s="54" t="str">
        <x:v>owner-refined Sky aspect v10.1 corpus; owner direction, chat 2026-08-01</x:v>
      </x:c>
      <x:c r="J19" s="56" t="str">
        <x:v>The people celebrating rapid innovation face the communities dealing with its cost.</x:v>
      </x:c>
      <x:c r="K19" s="56" t="str">
        <x:v>The people celebrating rapid innovation face the communities dealing with its cost. Jupiter opposite Uranus can put the promise of a better future directly across from higher prices, displacement, unstable work, or services that no longer fit the people who depended on the older system. Both sides may be describing the same change accurately. The question is who gets the benefit first and who is expected to adjust. Count the disruption as part of the result before expanding the model again.</x:v>
      </x:c>
      <x:c r="L19" s="56" t="str">
        <x:v>Completed generic pair-aspect fallback. Use only when sign/date context is unavailable.</x:v>
      </x:c>
      <x:c r="M19" s="56" t="str">
        <x:v>REVIEW READY</x:v>
      </x:c>
      <x:c r="N19" s="54" t="str">
        <x:v>packages/astro-knowledge/data/transits/jupiter-opposition-uranus.json</x:v>
      </x:c>
      <x:c r="O19" s="71" t="str">
        <x:v>748bd55cd466a6293a7095ec33ff45b536c621e7da4b06b2847664c612f52286</x:v>
      </x:c>
      <x:c r="P19" s="75" t="str">
        <x:v>INCLUDE</x:v>
      </x:c>
      <x:c r="Q19" s="79" t="str"/>
    </x:row>
    <x:row r="20" ht="92" customHeight="1">
      <x:c r="A20" s="54" t="n">
        <x:v>18</x:v>
      </x:c>
      <x:c r="B20" s="54" t="str">
        <x:v>sky.jupiter.square.uranus</x:v>
      </x:c>
      <x:c r="C20" s="54" t="str">
        <x:v>Jupiter square Uranus</x:v>
      </x:c>
      <x:c r="D20" s="54" t="str">
        <x:v>jupiter</x:v>
      </x:c>
      <x:c r="E20" s="54" t="str">
        <x:v>square</x:v>
      </x:c>
      <x:c r="F20" s="54" t="str">
        <x:v>uranus</x:v>
      </x:c>
      <x:c r="G20" s="54" t="str">
        <x:v>A popular new market sends prices and demand moving faster than housing, staffing, supply, or regulation can follow.</x:v>
      </x:c>
      <x:c r="H20" s="54" t="str">
        <x:v>A popular new market sends prices and demand moving faster than housing, staffing, supply, or regulation can follow. Early users gain options while everyone arriving later faces shortages, new fees, or rules written after the rush began. Jupiter keeps increasing the scale and confidence, while Uranus overturns the system that made growth predictable. The square turns each breakthrough into another source of instability the existing structure cannot absorb. The opening may reward early participants while leaving everyone else paying more to adapt.</x:v>
      </x:c>
      <x:c r="I20" s="54" t="str">
        <x:v>owner-refined Sky aspect v10.1 corpus; owner direction, chat 2026-08-01</x:v>
      </x:c>
      <x:c r="J20" s="56" t="str">
        <x:v>A popular new market sends prices and demand moving faster than housing, staffing, supply, or regulation can follow.</x:v>
      </x:c>
      <x:c r="K20" s="56" t="str">
        <x:v>A popular new market sends prices and demand moving faster than housing, staffing, supply, or regulation can follow. Jupiter square Uranus can make every breakthrough create a second problem the existing structure was not built to absorb. Early users gain options while everyone arriving later meets shortages, new fees, or rules written after the rush began. Growth does not erase instability; it can amplify it. Slow the next expansion long enough to fix the shortage everyone is already paying for.</x:v>
      </x:c>
      <x:c r="L20" s="56" t="str">
        <x:v>Completed generic pair-aspect fallback. Use only when sign/date context is unavailable.</x:v>
      </x:c>
      <x:c r="M20" s="56" t="str">
        <x:v>REVIEW READY</x:v>
      </x:c>
      <x:c r="N20" s="54" t="str">
        <x:v>packages/astro-knowledge/data/transits/jupiter-square-uranus.json</x:v>
      </x:c>
      <x:c r="O20" s="71" t="str">
        <x:v>ba813a59ec8909a240f9f10b8b54bf1dfb3d26f0046856a03d9458a78a242f95</x:v>
      </x:c>
      <x:c r="P20" s="75" t="str">
        <x:v>INCLUDE</x:v>
      </x:c>
      <x:c r="Q20" s="79" t="str"/>
    </x:row>
    <x:row r="21" ht="92" customHeight="1">
      <x:c r="A21" s="54" t="n">
        <x:v>19</x:v>
      </x:c>
      <x:c r="B21" s="54" t="str">
        <x:v>sky.jupiter.trine.uranus</x:v>
      </x:c>
      <x:c r="C21" s="54" t="str">
        <x:v>Jupiter trine Uranus</x:v>
      </x:c>
      <x:c r="D21" s="54" t="str">
        <x:v>jupiter</x:v>
      </x:c>
      <x:c r="E21" s="54" t="str">
        <x:v>trine</x:v>
      </x:c>
      <x:c r="F21" s="54" t="str">
        <x:v>uranus</x:v>
      </x:c>
      <x:c r="G21" s="54" t="str">
        <x:v>A new model expands access faster than the older system ever managed.</x:v>
      </x:c>
      <x:c r="H21" s="54" t="str">
        <x:v>A new model expands access faster than the older system ever managed. Applications move, prices fall, services reach new areas, or a different platform connects people to opportunities that used to depend on location or status. Jupiter increases the reach and appetite for growth, while Uranus changes the infrastructure that once kept participation narrow. Under the trine, expansion and reform support each other without making disruption the main product. The change feels liberating because more people can use it before gatekeepers find a new way to close the route.</x:v>
      </x:c>
      <x:c r="I21" s="54" t="str">
        <x:v>owner-refined Sky aspect v10.1 corpus; owner direction, chat 2026-08-01</x:v>
      </x:c>
      <x:c r="J21" s="56" t="str">
        <x:v>A new model expands access faster than the older system ever managed.</x:v>
      </x:c>
      <x:c r="K21" s="56" t="str">
        <x:v>A new model expands access faster than the older system ever managed. Jupiter trine Uranus can help innovation scale without forcing every improvement through the gatekeepers that kept participation narrow in the first place. Applications move, prices fall, services reach new areas, or people gain access that once depended on location or status. This is useful disruption because the result is visible in who can participate. Protect the route before success gives someone a reason to close it again.</x:v>
      </x:c>
      <x:c r="L21" s="56" t="str">
        <x:v>Completed generic pair-aspect fallback. Use only when sign/date context is unavailable.</x:v>
      </x:c>
      <x:c r="M21" s="56" t="str">
        <x:v>REVIEW READY</x:v>
      </x:c>
      <x:c r="N21" s="54" t="str">
        <x:v>packages/astro-knowledge/data/transits/jupiter-trine-uranus.json</x:v>
      </x:c>
      <x:c r="O21" s="71" t="str">
        <x:v>cf7bb4e644bbbf9f7bb8da72ce64de0cd7515e209c27409742efc9f8c160739e</x:v>
      </x:c>
      <x:c r="P21" s="75" t="str">
        <x:v>INCLUDE</x:v>
      </x:c>
      <x:c r="Q21" s="79" t="str"/>
    </x:row>
    <x:row r="22" ht="92" customHeight="1">
      <x:c r="A22" s="54" t="n">
        <x:v>20</x:v>
      </x:c>
      <x:c r="B22" s="54" t="str">
        <x:v>sky.jupiter.sextile.uranus</x:v>
      </x:c>
      <x:c r="C22" s="54" t="str">
        <x:v>Jupiter sextile Uranus</x:v>
      </x:c>
      <x:c r="D22" s="54" t="str">
        <x:v>jupiter</x:v>
      </x:c>
      <x:c r="E22" s="54" t="str">
        <x:v>sextile</x:v>
      </x:c>
      <x:c r="F22" s="54" t="str">
        <x:v>uranus</x:v>
      </x:c>
      <x:c r="G22" s="54" t="str">
        <x:v>A revised rule or technology update lowers the barrier that kept people out.</x:v>
      </x:c>
      <x:c r="H22" s="54" t="str">
        <x:v>A revised rule or technology update lowers the barrier that kept people out. Someone uses the opening to expand service, approve a new distribution route, or bring a neglected group into the program before the old restriction returns. Jupiter widens who can benefit, while Uranus changes the practical system controlling entry. The sextile creates a route toward broader access, but a person or institution still has to put the reform into use. The opportunity reaches more people because the change alters the door itself instead of merely advertising inclusion.</x:v>
      </x:c>
      <x:c r="I22" s="54" t="str">
        <x:v>owner-refined Sky aspect v10.1 corpus; owner direction, chat 2026-08-01</x:v>
      </x:c>
      <x:c r="J22" s="56" t="str">
        <x:v>A revised rule or technology update lowers a barrier that kept people out.</x:v>
      </x:c>
      <x:c r="K22" s="56" t="str">
        <x:v>A revised rule or technology update lowers a barrier that kept people out. Jupiter sextile Uranus can turn one practical change into broader access without requiring the entire system to be rebuilt first. A new distribution route, approval process, or platform feature may be enough to bring a neglected group into the program. The opening only matters if someone actually uses it. Put the new route into practice now and measure who gets through the door that was previously closed.</x:v>
      </x:c>
      <x:c r="L22" s="56" t="str">
        <x:v>Completed generic pair-aspect fallback. Use only when sign/date context is unavailable.</x:v>
      </x:c>
      <x:c r="M22" s="56" t="str">
        <x:v>REVIEW READY</x:v>
      </x:c>
      <x:c r="N22" s="54" t="str">
        <x:v>packages/astro-knowledge/data/transits/jupiter-sextile-uranus.json</x:v>
      </x:c>
      <x:c r="O22" s="71" t="str">
        <x:v>2a5aea0d841a515739ec0142b86fe0bf73e27d22bd53a59cb606d7028372319a</x:v>
      </x:c>
      <x:c r="P22" s="75" t="str">
        <x:v>INCLUDE</x:v>
      </x:c>
      <x:c r="Q22" s="79" t="str"/>
    </x:row>
    <x:row r="23" ht="92" customHeight="1">
      <x:c r="A23" s="54" t="n">
        <x:v>21</x:v>
      </x:c>
      <x:c r="B23" s="54" t="str">
        <x:v>sky.mars.conjunction.jupiter</x:v>
      </x:c>
      <x:c r="C23" s="54" t="str">
        <x:v>Mars conjunction Jupiter</x:v>
      </x:c>
      <x:c r="D23" s="54" t="str">
        <x:v>mars</x:v>
      </x:c>
      <x:c r="E23" s="54" t="str">
        <x:v>conjunction</x:v>
      </x:c>
      <x:c r="F23" s="54" t="str">
        <x:v>jupiter</x:v>
      </x:c>
      <x:c r="G23" s="54" t="str">
        <x:v>One bold move turns into a full-scale campaign before anyone calls for a pause.</x:v>
      </x:c>
      <x:c r="H23" s="54" t="str">
        <x:v>One bold move turns into a full-scale campaign before anyone calls for a pause. A crowd joins, spending rises, or a competitive push expands while confidence is still being treated as proof that the plan will work. Mars supplies the drive to act, while Jupiter increases the reach, appetite, and belief behind that action. Under the conjunction, momentum and expansion feed each other without a natural stopping point. The effort may produce a major result while making caution look like disloyalty to everyone already committed.</x:v>
      </x:c>
      <x:c r="I23" s="54" t="str">
        <x:v>owner-refined Sky aspect v10.1 corpus; owner direction, chat 2026-08-01</x:v>
      </x:c>
      <x:c r="J23" s="56" t="str">
        <x:v>One bold move turns into a full-scale campaign before anyone calls for a pause.</x:v>
      </x:c>
      <x:c r="K23" s="56" t="str">
        <x:v>One bold move turns into a full-scale campaign before anyone calls for a pause. Mars conjunct Jupiter can make confidence feed momentum so quickly that the next commitment is made while the last one is still being absorbed. Spending rises, the audience grows, and caution starts to sound like disloyalty. Big energy can produce a big result, but it can also turn enthusiasm into a promise nobody planned to keep. Check the staff, budget, and actual limit before saying yes to the next expansion.</x:v>
      </x:c>
      <x:c r="L23" s="56" t="str">
        <x:v>Completed generic pair-aspect fallback. Use only when sign/date context is unavailable.</x:v>
      </x:c>
      <x:c r="M23" s="56" t="str">
        <x:v>REVIEW READY</x:v>
      </x:c>
      <x:c r="N23" s="54" t="str">
        <x:v>packages/astro-knowledge/data/transits/mars-conjunction-jupiter.json</x:v>
      </x:c>
      <x:c r="O23" s="71" t="str">
        <x:v>19a220f9c900939104e00e6b75aef2fb3264d56799da3949ff3159ec78ca154f</x:v>
      </x:c>
      <x:c r="P23" s="75" t="str">
        <x:v>INCLUDE</x:v>
      </x:c>
      <x:c r="Q23" s="79" t="str"/>
    </x:row>
    <x:row r="24" ht="92" customHeight="1">
      <x:c r="A24" s="54" t="n">
        <x:v>22</x:v>
      </x:c>
      <x:c r="B24" s="54" t="str">
        <x:v>sky.mars.opposition.jupiter</x:v>
      </x:c>
      <x:c r="C24" s="54" t="str">
        <x:v>Mars opposition Jupiter</x:v>
      </x:c>
      <x:c r="D24" s="54" t="str">
        <x:v>mars</x:v>
      </x:c>
      <x:c r="E24" s="54" t="str">
        <x:v>opposition</x:v>
      </x:c>
      <x:c r="F24" s="54" t="str">
        <x:v>jupiter</x:v>
      </x:c>
      <x:c r="G24" s="54" t="str">
        <x:v>The person pushing for immediate expansion faces the people responsible for managing the risk.</x:v>
      </x:c>
      <x:c r="H24" s="54" t="str">
        <x:v>The person pushing for immediate expansion faces the people responsible for managing the risk. One side points to momentum, demand, and the cost of missing the opportunity; the other points to permits, staffing, and promises the organization cannot safely absorb. Mars gives the push its urgency, while Jupiter gives the larger vision enough confidence to resist restraint. The opposition places bold action across from the scale of its consequences. The expansion may proceed, but everyone can see whether caution was answered or merely overruled.</x:v>
      </x:c>
      <x:c r="I24" s="54" t="str">
        <x:v>owner-refined Sky aspect v10.1 corpus; owner direction, chat 2026-08-01</x:v>
      </x:c>
      <x:c r="J24" s="56" t="str">
        <x:v>The person pushing for immediate expansion faces the people responsible for managing the risk.</x:v>
      </x:c>
      <x:c r="K24" s="56" t="str">
        <x:v>The person pushing for immediate expansion faces the people responsible for managing the risk. Mars opposite Jupiter makes the cost of moving fast impossible to leave in the background: one side sees momentum and a closing window, while the other sees permits, staffing, money, and consequences that will remain after the rush is over. Neither side is automatically wrong. Put the opportunity and the risk on the same page. Decide what can move now without making the delivery team inherit promises they never approved.</x:v>
      </x:c>
      <x:c r="L24" s="56" t="str">
        <x:v>Completed generic pair-aspect fallback. Use only when sign/date context is unavailable.</x:v>
      </x:c>
      <x:c r="M24" s="56" t="str">
        <x:v>REVIEW READY</x:v>
      </x:c>
      <x:c r="N24" s="54" t="str">
        <x:v>packages/astro-knowledge/data/transits/mars-opposition-jupiter.json</x:v>
      </x:c>
      <x:c r="O24" s="71" t="str">
        <x:v>d61fad2b77faa6ac474ad8d0b4b72c139735739cbaa9e39b084324284ac2e5d1</x:v>
      </x:c>
      <x:c r="P24" s="75" t="str">
        <x:v>INCLUDE</x:v>
      </x:c>
      <x:c r="Q24" s="79" t="str"/>
    </x:row>
    <x:row r="25" ht="92" customHeight="1">
      <x:c r="A25" s="54" t="n">
        <x:v>23</x:v>
      </x:c>
      <x:c r="B25" s="54" t="str">
        <x:v>sky.mars.square.jupiter</x:v>
      </x:c>
      <x:c r="C25" s="54" t="str">
        <x:v>Mars square Jupiter</x:v>
      </x:c>
      <x:c r="D25" s="54" t="str">
        <x:v>mars</x:v>
      </x:c>
      <x:c r="E25" s="54" t="str">
        <x:v>square</x:v>
      </x:c>
      <x:c r="F25" s="54" t="str">
        <x:v>jupiter</x:v>
      </x:c>
      <x:c r="G25" s="54" t="str">
        <x:v>A confident team doubles the bet before anyone checks whether the staff, budget, or permit can survive it.</x:v>
      </x:c>
      <x:c r="H25" s="54" t="str">
        <x:v>A confident team doubles the bet before anyone checks whether the staff, budget, or permit can survive it. The launch expands, the trip is booked, or faster results are promised while the people responsible for delivery are still asking what was approved. Mars drives the immediate move, while Jupiter keeps enlarging the ambition and certainty behind it. The square turns every success into a reason to take another risk before the first one settles. The gamble may create an opening, but the people doing the work inherit every promise made in the rush.</x:v>
      </x:c>
      <x:c r="I25" s="54" t="str">
        <x:v>owner-refined Sky aspect v10.1 corpus; owner direction, chat 2026-08-01</x:v>
      </x:c>
      <x:c r="J25" s="56" t="str">
        <x:v>A confident team doubles the bet before anyone checks if the staff, budget, or permit can survive it.</x:v>
      </x:c>
      <x:c r="K25" s="56" t="str">
        <x:v>A confident team doubles the bet before anyone checks if the staff, budget, or permit can survive it. Mars square Jupiter can turn one success into a reason to take the next risk too quickly, especially when the people making the promise are not the ones responsible for delivering it. The launch expands, the trip gets booked, or faster results are announced while basic questions are still open. Momentum is useful until it starts writing checks other people have to cover. Recalculate the commitment before increasing it again.</x:v>
      </x:c>
      <x:c r="L25" s="56" t="str">
        <x:v>Completed generic pair-aspect fallback. Use only when sign/date context is unavailable.</x:v>
      </x:c>
      <x:c r="M25" s="56" t="str">
        <x:v>REVIEW READY</x:v>
      </x:c>
      <x:c r="N25" s="54" t="str">
        <x:v>packages/astro-knowledge/data/transits/mars-square-jupiter.json</x:v>
      </x:c>
      <x:c r="O25" s="71" t="str">
        <x:v>2ac0bca9b7bb47af09cd3faef204ad6784f28d36e04ab22cb30c4a97ee2d43a1</x:v>
      </x:c>
      <x:c r="P25" s="75" t="str">
        <x:v>INCLUDE</x:v>
      </x:c>
      <x:c r="Q25" s="79" t="str"/>
    </x:row>
    <x:row r="26" ht="92" customHeight="1">
      <x:c r="A26" s="54" t="n">
        <x:v>24</x:v>
      </x:c>
      <x:c r="B26" s="54" t="str">
        <x:v>sky.mars.trine.jupiter</x:v>
      </x:c>
      <x:c r="C26" s="54" t="str">
        <x:v>Mars trine Jupiter</x:v>
      </x:c>
      <x:c r="D26" s="54" t="str">
        <x:v>mars</x:v>
      </x:c>
      <x:c r="E26" s="54" t="str">
        <x:v>trine</x:v>
      </x:c>
      <x:c r="F26" s="54" t="str">
        <x:v>jupiter</x:v>
      </x:c>
      <x:c r="G26" s="54" t="str">
        <x:v>A bold move receives the backing required to become more than a lucky break.</x:v>
      </x:c>
      <x:c r="H26" s="54" t="str">
        <x:v>A bold move receives the backing required to become more than a lucky break. The staff, money, permits, and public support arrive behind an effort that was already prepared to use them. Mars supplies the drive and labor, while Jupiter widens the reach and confidence behind the action. Under the trine, effort and opportunity reinforce each other without turning speed into recklessness. The project grows quickly because the larger audience meets a team capable of carrying the result.</x:v>
      </x:c>
      <x:c r="I26" s="54" t="str">
        <x:v>owner-refined Sky aspect v10.1 corpus; owner direction, chat 2026-08-01</x:v>
      </x:c>
      <x:c r="J26" s="56" t="str">
        <x:v>A bold move receives the backing required to become more than a lucky break.</x:v>
      </x:c>
      <x:c r="K26" s="56" t="str">
        <x:v>A bold move receives the backing required to become more than a lucky break. Mars trine Jupiter can line up effort with opportunity, so staff, money, permits, or public support arrive behind a plan that is already prepared to use them. The work can grow quickly without becoming reckless because the people doing it know where the extra resources belong. This is a good time to scale what has already proven itself. Keep the next step tied to the team and systems that made the first result possible.</x:v>
      </x:c>
      <x:c r="L26" s="56" t="str">
        <x:v>Completed generic pair-aspect fallback. Use only when sign/date context is unavailable.</x:v>
      </x:c>
      <x:c r="M26" s="56" t="str">
        <x:v>REVIEW READY</x:v>
      </x:c>
      <x:c r="N26" s="54" t="str">
        <x:v>packages/astro-knowledge/data/transits/mars-trine-jupiter.json</x:v>
      </x:c>
      <x:c r="O26" s="71" t="str">
        <x:v>1dcb74aa277be762f39f33656764a00fd5896f50e7c6578670221373f978e073</x:v>
      </x:c>
      <x:c r="P26" s="75" t="str">
        <x:v>INCLUDE</x:v>
      </x:c>
      <x:c r="Q26" s="79" t="str"/>
    </x:row>
    <x:row r="27" ht="92" customHeight="1">
      <x:c r="A27" s="54" t="n">
        <x:v>25</x:v>
      </x:c>
      <x:c r="B27" s="54" t="str">
        <x:v>sky.mars.sextile.jupiter</x:v>
      </x:c>
      <x:c r="C27" s="54" t="str">
        <x:v>Mars sextile Jupiter</x:v>
      </x:c>
      <x:c r="D27" s="54" t="str">
        <x:v>mars</x:v>
      </x:c>
      <x:c r="E27" s="54" t="str">
        <x:v>sextile</x:v>
      </x:c>
      <x:c r="F27" s="54" t="str">
        <x:v>jupiter</x:v>
      </x:c>
      <x:c r="G27" s="54" t="str">
        <x:v>A quick pitch catches fire and reaches a much larger audience than expected.</x:v>
      </x:c>
      <x:c r="H27" s="54" t="str">
        <x:v>A quick pitch catches fire and reaches a much larger audience than expected. A short video, sharp headline, or well-timed introduction gives an overlooked project the attention it needed. Mars keeps the message moving, while Jupiter expands the project's profile and draws wider interest. The sextile opens a larger opportunity and rewards the person willing to make the first practical move. The visibility can open serious doors, along with public expectations the original team may have to scramble to meet.</x:v>
      </x:c>
      <x:c r="I27" s="54" t="str">
        <x:v>owner-refined Sky aspect v10.1 corpus; owner direction, chat 2026-08-01</x:v>
      </x:c>
      <x:c r="J27" s="56" t="str">
        <x:v>A quick pitch catches fire and reaches a much larger audience than expected.</x:v>
      </x:c>
      <x:c r="K27" s="56" t="str">
        <x:v>A quick pitch catches fire and reaches a much larger audience than expected. Mars sextile Jupiter can help one direct move open a bigger opportunity, especially when a short video, sharp headline, introduction, or application reaches the right person at the right time. Attention is useful, but it creates expectations immediately. Make sure somebody is ready to answer the replies, fulfill the orders, or follow the lead. The opportunity gets better when the team can actually support the visibility it asked for.</x:v>
      </x:c>
      <x:c r="L27" s="56" t="str">
        <x:v>Completed generic pair-aspect fallback. Use only when sign/date context is unavailable.</x:v>
      </x:c>
      <x:c r="M27" s="56" t="str">
        <x:v>REVIEW READY</x:v>
      </x:c>
      <x:c r="N27" s="54" t="str">
        <x:v>packages/astro-knowledge/data/transits/mars-sextile-jupiter.json</x:v>
      </x:c>
      <x:c r="O27" s="71" t="str">
        <x:v>fb660c1da4694c73389d0134272eb47301947e65b0c3ef7d26fc6ef1467daaee</x:v>
      </x:c>
      <x:c r="P27" s="75" t="str">
        <x:v>INCLUDE</x:v>
      </x:c>
      <x:c r="Q27" s="79" t="str"/>
    </x:row>
    <x:row r="28" ht="92" customHeight="1">
      <x:c r="A28" s="54" t="n">
        <x:v>26</x:v>
      </x:c>
      <x:c r="B28" s="54" t="str">
        <x:v>sky.mars.conjunction.neptune</x:v>
      </x:c>
      <x:c r="C28" s="54" t="str">
        <x:v>Mars conjunction Neptune</x:v>
      </x:c>
      <x:c r="D28" s="54" t="str">
        <x:v>mars</x:v>
      </x:c>
      <x:c r="E28" s="54" t="str">
        <x:v>conjunction</x:v>
      </x:c>
      <x:c r="F28" s="54" t="str">
        <x:v>neptune</x:v>
      </x:c>
      <x:c r="G28" s="54" t="str">
        <x:v>A campaign gathers volunteers, money, and urgency before anyone can give the goal the same name.</x:v>
      </x:c>
      <x:c r="H28" s="54" t="str">
        <x:v>A campaign gathers volunteers, money, and urgency before anyone can give the goal the same name. A protest, rescue effort, creative push, or private confrontation moves on conviction while roles and measures of success remain unsettled. Mars gives the feeling force, while Neptune makes the purpose emotionally compelling and practically difficult to pin down. Under the conjunction, inspiration and action surge forward as one movement. The effort may inspire people while leaving organizers unable to explain where the money, labor, or responsibility finally belongs.</x:v>
      </x:c>
      <x:c r="I28" s="54" t="str">
        <x:v>owner-refined Sky aspect v10.1 corpus; owner direction, chat 2026-08-01</x:v>
      </x:c>
      <x:c r="J28" s="56" t="str">
        <x:v>A campaign gathers volunteers, money, and urgency before anyone can give the goal the same name.</x:v>
      </x:c>
      <x:c r="K28" s="56" t="str">
        <x:v>A campaign gathers volunteers, money, and urgency before anyone can give the goal the same name. Mars conjunct Neptune can make conviction feel like enough direction, so people start donating, confronting, publishing, or organizing while roles and measures of success are still fuzzy. The energy is sincere, but sincerity does not decide where the money or work belongs. Someone has to translate the feeling into a job. Name the objective, who owns it, and what a finished result looks like before the response gets any larger.</x:v>
      </x:c>
      <x:c r="L28" s="56" t="str">
        <x:v>Completed generic pair-aspect fallback. Use only when sign/date context is unavailable.</x:v>
      </x:c>
      <x:c r="M28" s="56" t="str">
        <x:v>REVIEW READY</x:v>
      </x:c>
      <x:c r="N28" s="54" t="str">
        <x:v>packages/astro-knowledge/data/transits/mars-conjunction-neptune.json</x:v>
      </x:c>
      <x:c r="O28" s="71" t="str">
        <x:v>5d072e14f972f681b8bbf68a365466497f8af98d1038dffa6aac13aed68c3d61</x:v>
      </x:c>
      <x:c r="P28" s="75" t="str">
        <x:v>INCLUDE</x:v>
      </x:c>
      <x:c r="Q28" s="79" t="str"/>
    </x:row>
    <x:row r="29" ht="92" customHeight="1">
      <x:c r="A29" s="54" t="n">
        <x:v>27</x:v>
      </x:c>
      <x:c r="B29" s="54" t="str">
        <x:v>sky.mars.opposition.neptune</x:v>
      </x:c>
      <x:c r="C29" s="54" t="str">
        <x:v>Mars opposition Neptune</x:v>
      </x:c>
      <x:c r="D29" s="54" t="str">
        <x:v>mars</x:v>
      </x:c>
      <x:c r="E29" s="54" t="str">
        <x:v>opposition</x:v>
      </x:c>
      <x:c r="F29" s="54" t="str">
        <x:v>neptune</x:v>
      </x:c>
      <x:c r="G29" s="54" t="str">
        <x:v>The people demanding direct action face the people invested in preserving an inspiring but unclear vision.</x:v>
      </x:c>
      <x:c r="H29" s="54" t="str">
        <x:v>The people demanding direct action face the people invested in preserving an inspiring but unclear vision. One side points to deadlines, harm, and the need for a measurable intervention; the other points to compassion, faith, and reasons the plan cannot be reduced to simple results. Mars holds the demand to act, while Neptune gives the larger feeling and ideal equal force. The opposition forces the urgent demand for results to face a purpose nobody wants reduced to a spreadsheet. The response may continue, but the conflict reveals whether the vision can survive being asked who is responsible for carrying it.</x:v>
      </x:c>
      <x:c r="I29" s="54" t="str">
        <x:v>owner-refined Sky aspect v10.1 corpus; owner direction, chat 2026-08-01</x:v>
      </x:c>
      <x:c r="J29" s="56" t="str">
        <x:v>The people demanding direct action face the people invested in preserving an inspiring but unclear vision.</x:v>
      </x:c>
      <x:c r="K29" s="56" t="str">
        <x:v>The people demanding direct action face the people invested in preserving an inspiring but unclear vision. Mars opposite Neptune can turn that difference into a fight between measurable results and the larger purpose nobody wants reduced to a spreadsheet. One side points to deadlines and harm; the other points to compassion, faith, or the parts of the work that are harder to count. The vision should be able to survive a practical question. Ask who is responsible for carrying it, what action is required now, and what result would show that the response is working.</x:v>
      </x:c>
      <x:c r="L29" s="56" t="str">
        <x:v>Completed generic pair-aspect fallback. Use only when sign/date context is unavailable.</x:v>
      </x:c>
      <x:c r="M29" s="56" t="str">
        <x:v>REVIEW READY</x:v>
      </x:c>
      <x:c r="N29" s="54" t="str">
        <x:v>packages/astro-knowledge/data/transits/mars-opposition-neptune.json</x:v>
      </x:c>
      <x:c r="O29" s="71" t="str">
        <x:v>bda68f2cf1212c6459b4a7f3312dae0170ec050a857fe49daf2751f434b08eb4</x:v>
      </x:c>
      <x:c r="P29" s="75" t="str">
        <x:v>INCLUDE</x:v>
      </x:c>
      <x:c r="Q29" s="79" t="str"/>
    </x:row>
    <x:row r="30" ht="92" customHeight="1">
      <x:c r="A30" s="54" t="n">
        <x:v>28</x:v>
      </x:c>
      <x:c r="B30" s="54" t="str">
        <x:v>sky.mars.square.neptune</x:v>
      </x:c>
      <x:c r="C30" s="54" t="str">
        <x:v>Mars square Neptune</x:v>
      </x:c>
      <x:c r="D30" s="54" t="str">
        <x:v>mars</x:v>
      </x:c>
      <x:c r="E30" s="54" t="str">
        <x:v>square</x:v>
      </x:c>
      <x:c r="F30" s="54" t="str">
        <x:v>neptune</x:v>
      </x:c>
      <x:c r="G30" s="54" t="str">
        <x:v>A dramatic response begins before anyone can define the goal, authority, or measure of success.</x:v>
      </x:c>
      <x:c r="H30" s="54" t="str">
        <x:v>A dramatic response begins before anyone can define the goal, authority, or measure of success. People rush to donate, confront, rescue, or publish while the instructions change and nobody can say who is responsible for the result. Mars keeps pushing for action, while Neptune blurs the target and allows emotion to fill the gaps in the plan. The square turns urgency into scattered effort as each person acts on a different version of the need. The campaign may look powerful from the outside while money, labor, and accountability disappear into confusion.</x:v>
      </x:c>
      <x:c r="I30" s="54" t="str">
        <x:v>owner-refined Sky aspect v10.1 corpus; owner direction, chat 2026-08-01</x:v>
      </x:c>
      <x:c r="J30" s="56" t="str">
        <x:v>A dramatic response begins before anyone can define the goal, authority, or measure of success.</x:v>
      </x:c>
      <x:c r="K30" s="56" t="str">
        <x:v>A dramatic response begins before anyone can define the goal, authority, or measure of success. Mars square Neptune can scatter urgent energy across several different versions of the problem, so people rush to donate, confront, rescue, or publish without knowing who is coordinating the result. The effort looks powerful from the outside while money and responsibility disappear into confusion. Do not add more force to a blurry target. Decide what the immediate job is, who has authority to direct it, and what everyone else can stop doing.</x:v>
      </x:c>
      <x:c r="L30" s="56" t="str">
        <x:v>Completed generic pair-aspect fallback. Use only when sign/date context is unavailable.</x:v>
      </x:c>
      <x:c r="M30" s="56" t="str">
        <x:v>REVIEW READY</x:v>
      </x:c>
      <x:c r="N30" s="54" t="str">
        <x:v>packages/astro-knowledge/data/transits/mars-square-neptune.json</x:v>
      </x:c>
      <x:c r="O30" s="71" t="str">
        <x:v>c7459e7d316b297f798a77c711a5211004125904ebf3a11ce0a5ef855d4637f6</x:v>
      </x:c>
      <x:c r="P30" s="75" t="str">
        <x:v>INCLUDE</x:v>
      </x:c>
      <x:c r="Q30" s="79" t="str"/>
    </x:row>
    <x:row r="31" ht="92" customHeight="1">
      <x:c r="A31" s="54" t="n">
        <x:v>29</x:v>
      </x:c>
      <x:c r="B31" s="54" t="str">
        <x:v>sky.mars.trine.neptune</x:v>
      </x:c>
      <x:c r="C31" s="54" t="str">
        <x:v>Mars trine Neptune</x:v>
      </x:c>
      <x:c r="D31" s="54" t="str">
        <x:v>mars</x:v>
      </x:c>
      <x:c r="E31" s="54" t="str">
        <x:v>trine</x:v>
      </x:c>
      <x:c r="F31" s="54" t="str">
        <x:v>neptune</x:v>
      </x:c>
      <x:c r="G31" s="54" t="str">
        <x:v>A rescue, creative effort, or public action moves with enough shared purpose to keep people working together.</x:v>
      </x:c>
      <x:c r="H31" s="54" t="str">
        <x:v>A rescue, creative effort, or public action moves with enough shared purpose to keep people working together. Volunteers understand the immediate need, organizers keep the roles clear, and the emotional reason for showing up remains visible inside the practical work. Mars gives the response force and endurance, while Neptune keeps compassion and imagination connected to the goal. Under the trine, action and inspiration reinforce each other without requiring confusion to feel meaningful. The effort reaches people because conviction is matched by work someone is prepared to carry.</x:v>
      </x:c>
      <x:c r="I31" s="54" t="str">
        <x:v>owner-refined Sky aspect v10.1 corpus; owner direction, chat 2026-08-01</x:v>
      </x:c>
      <x:c r="J31" s="56" t="str">
        <x:v>A rescue, creative effort, or public action moves because people understand both the need and the reason they are showing up.</x:v>
      </x:c>
      <x:c r="K31" s="56" t="str">
        <x:v>A rescue, creative effort, or public action moves because people understand both the need and the reason they are showing up. Mars trine Neptune can keep practical effort connected to compassion without letting the emotional charge replace the work itself. Volunteers know their roles, organizers can explain the goal, and the story behind the effort still matters after the first burst of urgency. That combination is worth protecting. Keep the purpose visible, but make sure every new person knows exactly what they are responsible for carrying.</x:v>
      </x:c>
      <x:c r="L31" s="56" t="str">
        <x:v>Completed generic pair-aspect fallback. Use only when sign/date context is unavailable.</x:v>
      </x:c>
      <x:c r="M31" s="56" t="str">
        <x:v>REVIEW READY</x:v>
      </x:c>
      <x:c r="N31" s="54" t="str">
        <x:v>packages/astro-knowledge/data/transits/mars-trine-neptune.json</x:v>
      </x:c>
      <x:c r="O31" s="71" t="str">
        <x:v>e19443d74b690a75c64eefce29bc69eaf9422d59d480912c1c39a9d6fcb1a1b4</x:v>
      </x:c>
      <x:c r="P31" s="75" t="str">
        <x:v>INCLUDE</x:v>
      </x:c>
      <x:c r="Q31" s="79" t="str"/>
    </x:row>
    <x:row r="32" ht="92" customHeight="1">
      <x:c r="A32" s="54" t="n">
        <x:v>30</x:v>
      </x:c>
      <x:c r="B32" s="54" t="str">
        <x:v>sky.mars.sextile.neptune</x:v>
      </x:c>
      <x:c r="C32" s="54" t="str">
        <x:v>Mars sextile Neptune</x:v>
      </x:c>
      <x:c r="D32" s="54" t="str">
        <x:v>mars</x:v>
      </x:c>
      <x:c r="E32" s="54" t="str">
        <x:v>sextile</x:v>
      </x:c>
      <x:c r="F32" s="54" t="str">
        <x:v>neptune</x:v>
      </x:c>
      <x:c r="G32" s="54" t="str">
        <x:v>A strong feeling finds one concrete action before it scatters into frustration.</x:v>
      </x:c>
      <x:c r="H32" s="54" t="str">
        <x:v>A strong feeling finds one concrete action before it scatters into frustration. Someone turns grief, outrage, hope, or creative urgency into a fundraiser, volunteer shift, performance, or direct request with a clear purpose. Mars supplies the effort, while Neptune connects that effort to a need people can feel even before they understand every detail. The sextile opens a usable path from inspiration to action, but someone still has to name the task. The response gains momentum because people know where to put their time instead of being left with emotion alone.</x:v>
      </x:c>
      <x:c r="I32" s="54" t="str">
        <x:v>owner-refined Sky aspect v10.1 corpus; owner direction, chat 2026-08-01</x:v>
      </x:c>
      <x:c r="J32" s="56" t="str">
        <x:v>A strong feeling finds one concrete action before it scatters into frustration.</x:v>
      </x:c>
      <x:c r="K32" s="56" t="str">
        <x:v>A strong feeling finds one concrete action before it scatters into frustration. Mars sextile Neptune can turn grief, outrage, hope, or creative urgency into a fundraiser, volunteer shift, performance, or direct request that gives people somewhere useful to put their energy. The action does not have to solve the entire problem to matter. It needs a clear purpose and a person who can receive the help. Choose the next task people can actually complete, then let the larger feeling stay larger than the assignment.</x:v>
      </x:c>
      <x:c r="L32" s="56" t="str">
        <x:v>Completed generic pair-aspect fallback. Use only when sign/date context is unavailable.</x:v>
      </x:c>
      <x:c r="M32" s="56" t="str">
        <x:v>REVIEW READY</x:v>
      </x:c>
      <x:c r="N32" s="54" t="str">
        <x:v>packages/astro-knowledge/data/transits/mars-sextile-neptune.json</x:v>
      </x:c>
      <x:c r="O32" s="71" t="str">
        <x:v>6e934efa064b4662a6bcf48282996114bbfbac8f342205e257aaf9773a9d5f65</x:v>
      </x:c>
      <x:c r="P32" s="75" t="str">
        <x:v>INCLUDE</x:v>
      </x:c>
      <x:c r="Q32" s="79" t="str"/>
    </x:row>
    <x:row r="33" ht="92" customHeight="1">
      <x:c r="A33" s="54" t="n">
        <x:v>31</x:v>
      </x:c>
      <x:c r="B33" s="54" t="str">
        <x:v>sky.mars.conjunction.pluto</x:v>
      </x:c>
      <x:c r="C33" s="54" t="str">
        <x:v>Mars conjunction Pluto</x:v>
      </x:c>
      <x:c r="D33" s="54" t="str">
        <x:v>mars</x:v>
      </x:c>
      <x:c r="E33" s="54" t="str">
        <x:v>conjunction</x:v>
      </x:c>
      <x:c r="F33" s="54" t="str">
        <x:v>pluto</x:v>
      </x:c>
      <x:c r="G33" s="54" t="str">
        <x:v>A shutdown, ultimatum, or takeover makes the next move a test of who can force the outcome.</x:v>
      </x:c>
      <x:c r="H33" s="54" t="str">
        <x:v>A shutdown, ultimatum, or takeover makes the next move a test of who can force the outcome. Access to the money, platform, building, or final approval becomes the pressure point neither side will release. Mars escalates the action, while Pluto concentrates the power to impose consequences. Under the conjunction, force and control become part of the same move. The immediate contest may produce a winner while making future cooperation feel indistinguishable from surrender.</x:v>
      </x:c>
      <x:c r="I33" s="54" t="str">
        <x:v>owner-refined Sky aspect v10.1 corpus; owner direction, chat 2026-08-01</x:v>
      </x:c>
      <x:c r="J33" s="56" t="str">
        <x:v>A shutdown, ultimatum, or takeover makes the next move a test of who can force the outcome.</x:v>
      </x:c>
      <x:c r="K33" s="56" t="str">
        <x:v>A shutdown, ultimatum, or takeover makes the next move a test of who can force the outcome. Mars conjunct Pluto can concentrate action around the exact pressure point everyone is afraid to release: the money, platform, building, records, or final approval. Once force and leverage merge, cooperation can start looking like surrender. Winning the immediate contest may cost more than either side expected. Identify the thing everyone is threatening to withhold and decide what must remain usable after the confrontation is over.</x:v>
      </x:c>
      <x:c r="L33" s="56" t="str">
        <x:v>Completed generic pair-aspect fallback. Use only when sign/date context is unavailable.</x:v>
      </x:c>
      <x:c r="M33" s="56" t="str">
        <x:v>REVIEW READY</x:v>
      </x:c>
      <x:c r="N33" s="54" t="str">
        <x:v>packages/astro-knowledge/data/transits/mars-conjunction-pluto.json</x:v>
      </x:c>
      <x:c r="O33" s="71" t="str">
        <x:v>edcb47ec9f2cbf6551f81491fddd4a35c9f89678ba97b47188e33b935e4b0805</x:v>
      </x:c>
      <x:c r="P33" s="75" t="str">
        <x:v>INCLUDE</x:v>
      </x:c>
      <x:c r="Q33" s="79" t="str"/>
    </x:row>
    <x:row r="34" ht="92" customHeight="1">
      <x:c r="A34" s="54" t="n">
        <x:v>32</x:v>
      </x:c>
      <x:c r="B34" s="54" t="str">
        <x:v>sky.mars.opposition.pluto</x:v>
      </x:c>
      <x:c r="C34" s="54" t="str">
        <x:v>Mars opposition Pluto</x:v>
      </x:c>
      <x:c r="D34" s="54" t="str">
        <x:v>mars</x:v>
      </x:c>
      <x:c r="E34" s="54" t="str">
        <x:v>opposition</x:v>
      </x:c>
      <x:c r="F34" s="54" t="str">
        <x:v>pluto</x:v>
      </x:c>
      <x:c r="G34" s="54" t="str">
        <x:v>The person making the move faces the person who can block access, funding, or permission with a single decision.</x:v>
      </x:c>
      <x:c r="H34" s="54" t="str">
        <x:v>The person making the move faces the person who can block access, funding, or permission with a single decision. One side points to urgency and the right to act; the other points to ownership, consequence, and the power to make resistance expensive. Mars gives the challenge force, while Pluto concentrates the leverage that can absorb or crush it. The opposition places open action directly across from private control. A winner may emerge, but the contest reveals whether future cooperation will be possible without one side accepting submission.</x:v>
      </x:c>
      <x:c r="I34" s="54" t="str">
        <x:v>owner-refined Sky aspect v10.1 corpus; owner direction, chat 2026-08-01</x:v>
      </x:c>
      <x:c r="J34" s="56" t="str">
        <x:v>The person making the move faces the person who can block access, funding, or permission with one decision.</x:v>
      </x:c>
      <x:c r="K34" s="56" t="str">
        <x:v>The person making the move faces the person who can block access, funding, or permission with one decision. Mars opposite Pluto exposes the difference between visible action and private leverage, especially when one side can make resistance expensive without ever raising its voice. The conflict may look like a debate about timing, but the deeper question is who controls the consequence. Put that power on the table. A workable agreement has to name what each side can block, what each side needs, and what happens if neither one gives way.</x:v>
      </x:c>
      <x:c r="L34" s="56" t="str">
        <x:v>Completed generic pair-aspect fallback. Use only when sign/date context is unavailable.</x:v>
      </x:c>
      <x:c r="M34" s="56" t="str">
        <x:v>REVIEW READY</x:v>
      </x:c>
      <x:c r="N34" s="54" t="str">
        <x:v>packages/astro-knowledge/data/transits/mars-opposition-pluto.json</x:v>
      </x:c>
      <x:c r="O34" s="71" t="str">
        <x:v>066eceaf62122f78bd572b6195846a566ce10c48a598519c62f76ecb22332214</x:v>
      </x:c>
      <x:c r="P34" s="75" t="str">
        <x:v>INCLUDE</x:v>
      </x:c>
      <x:c r="Q34" s="79" t="str"/>
    </x:row>
    <x:row r="35" ht="92" customHeight="1">
      <x:c r="A35" s="54" t="n">
        <x:v>33</x:v>
      </x:c>
      <x:c r="B35" s="54" t="str">
        <x:v>sky.mars.square.pluto</x:v>
      </x:c>
      <x:c r="C35" s="54" t="str">
        <x:v>Mars square Pluto</x:v>
      </x:c>
      <x:c r="D35" s="54" t="str">
        <x:v>mars</x:v>
      </x:c>
      <x:c r="E35" s="54" t="str">
        <x:v>square</x:v>
      </x:c>
      <x:c r="F35" s="54" t="str">
        <x:v>pluto</x:v>
      </x:c>
      <x:c r="G35" s="54" t="str">
        <x:v>A bold play for power creates a showdown over who controls the outcome.</x:v>
      </x:c>
      <x:c r="H35" s="54" t="str">
        <x:v>A bold play for power creates a showdown over who controls the outcome. A confident move triggers forceful pushback and turns a public project into a fight over trust, access, and control. Mars pushes the action into public view, while Pluto answers with rank, contracts, money, or the power held by whoever controls the door. Under the square, the public move keeps colliding with private leverage until the conflict becomes a test of who can still force the outcome. The original move may hold, but everyone involved learns how quickly cooperation disappears when authority feels threatened.</x:v>
      </x:c>
      <x:c r="I35" s="54" t="str">
        <x:v>owner-refined Sky aspect v10.1 corpus; owner direction, chat 2026-08-01</x:v>
      </x:c>
      <x:c r="J35" s="56" t="str">
        <x:v>A bold play for power creates a showdown over who controls the outcome.</x:v>
      </x:c>
      <x:c r="K35" s="56" t="str">
        <x:v>A bold play for power creates a showdown over who controls the outcome. Mars square Pluto can turn a public move into a fight over rank, contracts, money, trust, or access the moment someone feels their authority is being tested. Pushing harder often gives the other side a reason to tighten the grip. The original issue can disappear inside the power struggle. Before escalating, identify the one decision that actually needs to change and the person with the authority to change it. Do not make the entire relationship the battlefield if one term is the problem.</x:v>
      </x:c>
      <x:c r="L35" s="56" t="str">
        <x:v>Completed generic pair-aspect fallback. Use only when sign/date context is unavailable.</x:v>
      </x:c>
      <x:c r="M35" s="56" t="str">
        <x:v>REVIEW READY</x:v>
      </x:c>
      <x:c r="N35" s="54" t="str">
        <x:v>packages/astro-knowledge/data/transits/mars-square-pluto.json</x:v>
      </x:c>
      <x:c r="O35" s="71" t="str">
        <x:v>9263349795a8cc953cf874ccca91a67b6431abab10023f4c85b10fb14a88288e</x:v>
      </x:c>
      <x:c r="P35" s="75" t="str">
        <x:v>INCLUDE</x:v>
      </x:c>
      <x:c r="Q35" s="79" t="str"/>
    </x:row>
    <x:row r="36" ht="92" customHeight="1">
      <x:c r="A36" s="54" t="n">
        <x:v>34</x:v>
      </x:c>
      <x:c r="B36" s="54" t="str">
        <x:v>sky.mars.trine.pluto</x:v>
      </x:c>
      <x:c r="C36" s="54" t="str">
        <x:v>Mars trine Pluto</x:v>
      </x:c>
      <x:c r="D36" s="54" t="str">
        <x:v>mars</x:v>
      </x:c>
      <x:c r="E36" s="54" t="str">
        <x:v>trine</x:v>
      </x:c>
      <x:c r="F36" s="54" t="str">
        <x:v>pluto</x:v>
      </x:c>
      <x:c r="G36" s="54" t="str">
        <x:v>Decisive action reaches the exact pressure point keeping a larger problem in place.</x:v>
      </x:c>
      <x:c r="H36" s="54" t="str">
        <x:v>Decisive action reaches the exact pressure point keeping a larger problem in place. An investigation secures the records, a legal move freezes the money, or organized resistance forces a gatekeeper to release access without scattering the effort across weaker targets. Mars supplies the force and timing, while Pluto reveals where control is actually concentrated. Under the trine, action and leverage support each other without wasting pressure on symbolic fights. The intervention changes the result because the people acting understand which door matters and who has been guarding it.</x:v>
      </x:c>
      <x:c r="I36" s="54" t="str">
        <x:v>owner-refined Sky aspect v10.1 corpus; owner direction, chat 2026-08-01</x:v>
      </x:c>
      <x:c r="J36" s="56" t="str">
        <x:v>Decisive action reaches the exact pressure point keeping a larger problem in place.</x:v>
      </x:c>
      <x:c r="K36" s="56" t="str">
        <x:v>Decisive action reaches the exact pressure point keeping a larger problem in place. Mars trine Pluto can help an investigation secure the records, a legal move freeze the money, or organized resistance reach the gatekeeper instead of scattering energy across symbolic fights. The force works because it is aimed at the part of the system that controls the result. This is not about being louder. It is about knowing which door matters. Put the effort where the leverage is and leave the weaker targets alone.</x:v>
      </x:c>
      <x:c r="L36" s="56" t="str">
        <x:v>Completed generic pair-aspect fallback. Use only when sign/date context is unavailable.</x:v>
      </x:c>
      <x:c r="M36" s="56" t="str">
        <x:v>REVIEW READY</x:v>
      </x:c>
      <x:c r="N36" s="54" t="str">
        <x:v>packages/astro-knowledge/data/transits/mars-trine-pluto.json</x:v>
      </x:c>
      <x:c r="O36" s="71" t="str">
        <x:v>718435db863fce58c3bbca1274028e0f23761db3e2804e9b2049682fc3a61b65</x:v>
      </x:c>
      <x:c r="P36" s="75" t="str">
        <x:v>INCLUDE</x:v>
      </x:c>
      <x:c r="Q36" s="79" t="str"/>
    </x:row>
    <x:row r="37" ht="92" customHeight="1">
      <x:c r="A37" s="54" t="n">
        <x:v>35</x:v>
      </x:c>
      <x:c r="B37" s="54" t="str">
        <x:v>sky.mars.sextile.pluto</x:v>
      </x:c>
      <x:c r="C37" s="54" t="str">
        <x:v>Mars sextile Pluto</x:v>
      </x:c>
      <x:c r="D37" s="54" t="str">
        <x:v>mars</x:v>
      </x:c>
      <x:c r="E37" s="54" t="str">
        <x:v>sextile</x:v>
      </x:c>
      <x:c r="F37" s="54" t="str">
        <x:v>pluto</x:v>
      </x:c>
      <x:c r="G37" s="54" t="str">
        <x:v>A direct challenge finally reaches the person holding the money, access, or final signature.</x:v>
      </x:c>
      <x:c r="H37" s="54" t="str">
        <x:v>A direct challenge finally reaches the person holding the money, access, or final signature. A controlling clause is reopened, a gatekeeper answers publicly, or withheld access is restored after polite discussion failed. Mars applies pressure to the immediate conflict, while Pluto exposes the authority and private interest underneath it. The sextile opens a route toward changing the terms, but someone still has to confront the real source of control. The argument moves because it stops circling the symptom and reaches the person who can alter the outcome.</x:v>
      </x:c>
      <x:c r="I37" s="54" t="str">
        <x:v>owner-refined Sky aspect v10.1 corpus; owner direction, chat 2026-08-01</x:v>
      </x:c>
      <x:c r="J37" s="56" t="str">
        <x:v>A direct challenge finally reaches the person holding the money, access, or final signature.</x:v>
      </x:c>
      <x:c r="K37" s="56" t="str">
        <x:v>A direct challenge finally reaches the person holding the money, access, or final signature. Mars sextile Pluto can make pressure useful once it stops circling the symptom and reaches the source of control. A clause gets reopened, a gatekeeper answers publicly, or withheld access is restored because the conversation is finally happening with the person who can change the outcome. Use that opening carefully. Keep the request to the exact change required, document the answer, and do not spend the moment arguing about every grievance that led there.</x:v>
      </x:c>
      <x:c r="L37" s="56" t="str">
        <x:v>Completed generic pair-aspect fallback. Use only when sign/date context is unavailable.</x:v>
      </x:c>
      <x:c r="M37" s="56" t="str">
        <x:v>REVIEW READY</x:v>
      </x:c>
      <x:c r="N37" s="54" t="str">
        <x:v>packages/astro-knowledge/data/transits/mars-sextile-pluto.json</x:v>
      </x:c>
      <x:c r="O37" s="71" t="str">
        <x:v>153d724daa88c99db05d6decdfa2c0c5d5891240759f7c5dede683bf2427f6bf</x:v>
      </x:c>
      <x:c r="P37" s="75" t="str">
        <x:v>INCLUDE</x:v>
      </x:c>
      <x:c r="Q37" s="79" t="str"/>
    </x:row>
    <x:row r="38" ht="92" customHeight="1">
      <x:c r="A38" s="54" t="n">
        <x:v>36</x:v>
      </x:c>
      <x:c r="B38" s="54" t="str">
        <x:v>sky.mars.conjunction.saturn</x:v>
      </x:c>
      <x:c r="C38" s="54" t="str">
        <x:v>Mars conjunction Saturn</x:v>
      </x:c>
      <x:c r="D38" s="54" t="str">
        <x:v>mars</x:v>
      </x:c>
      <x:c r="E38" s="54" t="str">
        <x:v>conjunction</x:v>
      </x:c>
      <x:c r="F38" s="54" t="str">
        <x:v>saturn</x:v>
      </x:c>
      <x:c r="G38" s="54" t="str">
        <x:v>A high-stakes operation allows force, but only through a strict chain of command.</x:v>
      </x:c>
      <x:c r="H38" s="54" t="str">
        <x:v>A high-stakes operation allows force, but only through a strict chain of command. An urgent repair, controlled shutdown, or disciplinary action moves on a fixed sequence with no room to improvise the timing. Mars keeps pressure on the task, while Saturn decides how, when, and by whom that pressure can be used. Under the conjunction, action and restriction operate as one command. The job may be completed under control while frustration settles into everyone who had no say over the pace.</x:v>
      </x:c>
      <x:c r="I38" s="54" t="str">
        <x:v>owner-refined Sky aspect v10.1 corpus; owner direction, chat 2026-08-01</x:v>
      </x:c>
      <x:c r="J38" s="56" t="str">
        <x:v>A high-stakes operation allows force, but only through a strict chain of command.</x:v>
      </x:c>
      <x:c r="K38" s="56" t="str">
        <x:v>A high-stakes operation allows force, but only through a strict chain of command. Mars conjunct Saturn can make action and restriction part of the same job, especially during an urgent repair, controlled shutdown, or disciplinary decision where timing and authority cannot be improvised. The structure may be frustrating, but it is also what keeps the pressure from creating a second problem. Follow the sequence that protects the work. Then review where the chain of command slowed the response for reasons that had nothing to do with safety.</x:v>
      </x:c>
      <x:c r="L38" s="56" t="str">
        <x:v>Completed generic pair-aspect fallback. Use only when sign/date context is unavailable.</x:v>
      </x:c>
      <x:c r="M38" s="56" t="str">
        <x:v>REVIEW READY</x:v>
      </x:c>
      <x:c r="N38" s="54" t="str">
        <x:v>packages/astro-knowledge/data/transits/mars-conjunction-saturn.json</x:v>
      </x:c>
      <x:c r="O38" s="71" t="str">
        <x:v>11ec9550f0462231e0cc918d463cf25b1a05e35312f3da9a5f06fa903be4401b</x:v>
      </x:c>
      <x:c r="P38" s="75" t="str">
        <x:v>INCLUDE</x:v>
      </x:c>
      <x:c r="Q38" s="79" t="str"/>
    </x:row>
    <x:row r="39" ht="92" customHeight="1">
      <x:c r="A39" s="54" t="n">
        <x:v>37</x:v>
      </x:c>
      <x:c r="B39" s="54" t="str">
        <x:v>sky.mars.opposition.saturn</x:v>
      </x:c>
      <x:c r="C39" s="54" t="str">
        <x:v>Mars opposition Saturn</x:v>
      </x:c>
      <x:c r="D39" s="54" t="str">
        <x:v>mars</x:v>
      </x:c>
      <x:c r="E39" s="54" t="str">
        <x:v>opposition</x:v>
      </x:c>
      <x:c r="F39" s="54" t="str">
        <x:v>saturn</x:v>
      </x:c>
      <x:c r="G39" s="54" t="str">
        <x:v>The people prepared to act face the official authorized to stop them.</x:v>
      </x:c>
      <x:c r="H39" s="54" t="str">
        <x:v>The people prepared to act face the official authorized to stop them. One side points to urgency, danger, and the cost of delay; the other points to law, safety, staffing, and consequences that will remain after the immediate crisis. Mars gives the demand for action a body and deadline, while Saturn gives the refusal institutional weight. The opposition places movement and restriction across from each other with no way to pretend both can govern the same moment. A controlled plan may emerge, but only after everyone sees who had the power to make urgency wait.</x:v>
      </x:c>
      <x:c r="I39" s="54" t="str">
        <x:v>owner-refined Sky aspect v10.1 corpus; owner direction, chat 2026-08-01</x:v>
      </x:c>
      <x:c r="J39" s="56" t="str">
        <x:v>The people prepared to act face the official authorized to stop them.</x:v>
      </x:c>
      <x:c r="K39" s="56" t="str">
        <x:v>The people prepared to act face the official authorized to stop them. Mars opposite Saturn can make urgency collide with law, staffing, safety, or a limit that will still matter after the immediate crisis is over. One side sees the cost of waiting; the other sees the cost of acting without support. Both costs need to be named. Separate the delay that protects people from the delay that protects procedure, then decide which part of the plan can move without asking the system to pretend the limit is not there.</x:v>
      </x:c>
      <x:c r="L39" s="56" t="str">
        <x:v>Completed generic pair-aspect fallback. Use only when sign/date context is unavailable.</x:v>
      </x:c>
      <x:c r="M39" s="56" t="str">
        <x:v>REVIEW READY</x:v>
      </x:c>
      <x:c r="N39" s="54" t="str">
        <x:v>packages/astro-knowledge/data/transits/mars-opposition-saturn.json</x:v>
      </x:c>
      <x:c r="O39" s="71" t="str">
        <x:v>0ae4e70f6fde0eb4ba673d983b9e608bc3bdbaf6a9195761492b1f4de0d2031b</x:v>
      </x:c>
      <x:c r="P39" s="75" t="str">
        <x:v>INCLUDE</x:v>
      </x:c>
      <x:c r="Q39" s="79" t="str"/>
    </x:row>
    <x:row r="40" ht="92" customHeight="1">
      <x:c r="A40" s="54" t="n">
        <x:v>38</x:v>
      </x:c>
      <x:c r="B40" s="54" t="str">
        <x:v>sky.mars.square.saturn</x:v>
      </x:c>
      <x:c r="C40" s="54" t="str">
        <x:v>Mars square Saturn</x:v>
      </x:c>
      <x:c r="D40" s="54" t="str">
        <x:v>mars</x:v>
      </x:c>
      <x:c r="E40" s="54" t="str">
        <x:v>square</x:v>
      </x:c>
      <x:c r="F40" s="54" t="str">
        <x:v>saturn</x:v>
      </x:c>
      <x:c r="G40" s="54" t="str">
        <x:v>The crew is ready to move, but a permit, staffing limit, safety rule, or locked deadline blocks the next step.</x:v>
      </x:c>
      <x:c r="H40" s="54" t="str">
        <x:v>The crew is ready to move, but a permit, staffing limit, safety rule, or locked deadline blocks the next step. The need is urgent and the anger is justified, yet the person with authority refuses to release work that cannot be supported or approved. Mars pushes for immediate action, while Saturn holds the line around time, responsibility, and consequence. The square keeps force hitting the same barrier until delay itself becomes a source of damage. The rule may protect the process while the people waiting on the result continue paying for every day nothing moves.</x:v>
      </x:c>
      <x:c r="I40" s="54" t="str">
        <x:v>owner-refined Sky aspect v10.1 corpus; owner direction, chat 2026-08-01</x:v>
      </x:c>
      <x:c r="J40" s="56" t="str">
        <x:v>The crew is ready to move, but a permit, staffing limit, safety rule, or locked deadline blocks the next step.</x:v>
      </x:c>
      <x:c r="K40" s="56" t="str">
        <x:v>The crew is ready to move, but a permit, staffing limit, safety rule, or locked deadline blocks the next step. Mars square Saturn can make every delay feel more personal because the need is urgent and the barrier keeps refusing to move. The frustration is useful information, but the restriction still has to be examined on its own merits, especially if following it keeps creating damage. Find the exact requirement holding the work back. Meet it, change it, or escalate it to the person who can instead of burning hours fighting everyone required to enforce it.</x:v>
      </x:c>
      <x:c r="L40" s="56" t="str">
        <x:v>Completed generic pair-aspect fallback. Use only when sign/date context is unavailable.</x:v>
      </x:c>
      <x:c r="M40" s="56" t="str">
        <x:v>REVIEW READY</x:v>
      </x:c>
      <x:c r="N40" s="54" t="str">
        <x:v>packages/astro-knowledge/data/transits/mars-square-saturn.json</x:v>
      </x:c>
      <x:c r="O40" s="71" t="str">
        <x:v>b06f066a428930a06d73fc828797e44cb5e55979223096f9aad3814929b35991</x:v>
      </x:c>
      <x:c r="P40" s="75" t="str">
        <x:v>INCLUDE</x:v>
      </x:c>
      <x:c r="Q40" s="79" t="str"/>
    </x:row>
    <x:row r="41" ht="92" customHeight="1">
      <x:c r="A41" s="54" t="n">
        <x:v>39</x:v>
      </x:c>
      <x:c r="B41" s="54" t="str">
        <x:v>sky.mars.trine.saturn</x:v>
      </x:c>
      <x:c r="C41" s="54" t="str">
        <x:v>Mars trine Saturn</x:v>
      </x:c>
      <x:c r="D41" s="54" t="str">
        <x:v>mars</x:v>
      </x:c>
      <x:c r="E41" s="54" t="str">
        <x:v>trine</x:v>
      </x:c>
      <x:c r="F41" s="54" t="str">
        <x:v>saturn</x:v>
      </x:c>
      <x:c r="G41" s="54" t="str">
        <x:v>The repair gets finished because the crew, materials, and deadline finally match the size of the job.</x:v>
      </x:c>
      <x:c r="H41" s="54" t="str">
        <x:v>The repair gets finished because the crew, materials, and deadline finally match the size of the job. Work is divided into shifts, the safety steps stay intact, and no one is asked to carry three roles just to keep the schedule alive. Mars supplies the labor and urgency, while Saturn gives the effort a sequence and pace it can survive. Under the trine, discipline supports action without draining its force. The result holds because finishing the job did not require exhausting the people responsible for it.</x:v>
      </x:c>
      <x:c r="I41" s="54" t="str">
        <x:v>owner-refined Sky aspect v10.1 corpus; owner direction, chat 2026-08-01</x:v>
      </x:c>
      <x:c r="J41" s="56" t="str">
        <x:v>The repair gets finished because the crew, materials, and deadline finally match the size of the job.</x:v>
      </x:c>
      <x:c r="K41" s="56" t="str">
        <x:v>The repair gets finished because the crew, materials, and deadline finally match the size of the job. Mars trine Saturn can turn pressure into disciplined work, so shifts are clear, safety steps stay intact, and nobody has to do three jobs just to keep the schedule alive. The result lasts because the pace is built around what people can actually carry. Protect that structure when the next urgent request arrives. A faster finish is not an improvement if it depends on exhausting the same people who have to maintain it afterward.</x:v>
      </x:c>
      <x:c r="L41" s="56" t="str">
        <x:v>Completed generic pair-aspect fallback. Use only when sign/date context is unavailable.</x:v>
      </x:c>
      <x:c r="M41" s="56" t="str">
        <x:v>REVIEW READY</x:v>
      </x:c>
      <x:c r="N41" s="54" t="str">
        <x:v>packages/astro-knowledge/data/transits/mars-trine-saturn.json</x:v>
      </x:c>
      <x:c r="O41" s="71" t="str">
        <x:v>362122b3c966c20492fdd7d905ceb60eca952646a5d7ee0a355218142e5cb1e8</x:v>
      </x:c>
      <x:c r="P41" s="75" t="str">
        <x:v>INCLUDE</x:v>
      </x:c>
      <x:c r="Q41" s="79" t="str"/>
    </x:row>
    <x:row r="42" ht="92" customHeight="1">
      <x:c r="A42" s="54" t="n">
        <x:v>40</x:v>
      </x:c>
      <x:c r="B42" s="54" t="str">
        <x:v>sky.mars.sextile.saturn</x:v>
      </x:c>
      <x:c r="C42" s="54" t="str">
        <x:v>Mars sextile Saturn</x:v>
      </x:c>
      <x:c r="D42" s="54" t="str">
        <x:v>mars</x:v>
      </x:c>
      <x:c r="E42" s="54" t="str">
        <x:v>sextile</x:v>
      </x:c>
      <x:c r="F42" s="54" t="str">
        <x:v>saturn</x:v>
      </x:c>
      <x:c r="G42" s="54" t="str">
        <x:v>An urgent job receives the permit, crew, or equipment needed for one safe stage to begin.</x:v>
      </x:c>
      <x:c r="H42" s="54" t="str">
        <x:v>An urgent job receives the permit, crew, or equipment needed for one safe stage to begin. Someone adjusts the sequence, secures a responsible supervisor, or narrows the task enough to move without violating the rule protecting the site. Mars keeps pressure on the immediate need, while Saturn defines the condition that makes action supportable. The sextile opens a practical route through the restriction, but someone still has to organize the work correctly. Progress begins because urgency accepts enough structure to stop wasting time at the same locked gate.</x:v>
      </x:c>
      <x:c r="I42" s="54" t="str">
        <x:v>owner-refined Sky aspect v10.1 corpus; owner direction, chat 2026-08-01</x:v>
      </x:c>
      <x:c r="J42" s="56" t="str">
        <x:v>An urgent job receives the permit, crew, or equipment needed for one safe stage to begin.</x:v>
      </x:c>
      <x:c r="K42" s="56" t="str">
        <x:v>An urgent job receives the permit, crew, or equipment needed for one safe stage to begin. Mars sextile Saturn can create a practical route through a restriction by narrowing the task, adjusting the sequence, or putting the right supervisor in place. One approved step may be enough to restart momentum even if the rest has to wait. Use the permission already granted. Finish the stage that is actually ready instead of turning a limited approval into another argument about everything still blocked.</x:v>
      </x:c>
      <x:c r="L42" s="56" t="str">
        <x:v>Completed generic pair-aspect fallback. Use only when sign/date context is unavailable.</x:v>
      </x:c>
      <x:c r="M42" s="56" t="str">
        <x:v>REVIEW READY</x:v>
      </x:c>
      <x:c r="N42" s="54" t="str">
        <x:v>packages/astro-knowledge/data/transits/mars-sextile-saturn.json</x:v>
      </x:c>
      <x:c r="O42" s="71" t="str">
        <x:v>e316a79072841d1163b1a90072fad409e197300f4d5433aacf1fa05b504ff7e8</x:v>
      </x:c>
      <x:c r="P42" s="75" t="str">
        <x:v>INCLUDE</x:v>
      </x:c>
      <x:c r="Q42" s="79" t="str"/>
    </x:row>
    <x:row r="43" ht="92" customHeight="1">
      <x:c r="A43" s="54" t="n">
        <x:v>41</x:v>
      </x:c>
      <x:c r="B43" s="54" t="str">
        <x:v>sky.mars.conjunction.uranus</x:v>
      </x:c>
      <x:c r="C43" s="54" t="str">
        <x:v>Mars conjunction Uranus</x:v>
      </x:c>
      <x:c r="D43" s="54" t="str">
        <x:v>mars</x:v>
      </x:c>
      <x:c r="E43" s="54" t="str">
        <x:v>conjunction</x:v>
      </x:c>
      <x:c r="F43" s="54" t="str">
        <x:v>uranus</x:v>
      </x:c>
      <x:c r="G43" s="54" t="str">
        <x:v>The switch is flipped, the post goes live, or the work stops before a backup can be tested.</x:v>
      </x:c>
      <x:c r="H43" s="54" t="str">
        <x:v>The switch is flipped, the post goes live, or the work stops before a backup can be tested. A group abandons the agreement in one decisive move and makes returning to the earlier plan immediately difficult. Mars provides the force to act, while Uranus makes the action abrupt, unconventional, and hard to reverse. Under the conjunction, the move and the rupture arrive as one fact. The action may end an intolerable delay while creating immediate disruption for everyone who depended on the old arrangement.</x:v>
      </x:c>
      <x:c r="I43" s="54" t="str">
        <x:v>owner-refined Sky aspect v10.1 corpus; owner direction, chat 2026-08-01</x:v>
      </x:c>
      <x:c r="J43" s="56" t="str">
        <x:v>A sudden break forces people to act before a replacement plan exists.</x:v>
      </x:c>
      <x:c r="K43" s="56" t="str">
        <x:v>A sudden break forces people to act before a replacement plan exists. Mars conjunct Uranus can make the disruption and the response happen in the same instant: a system goes down, somebody walks out, a rule is ignored, or a risky workaround becomes the only available option. Speed may be necessary, but improvisation creates its own consequences. Stabilize the immediate problem first. Then make sure the temporary fix does not quietly become the new system just because everyone survived the first hour.</x:v>
      </x:c>
      <x:c r="L43" s="56" t="str">
        <x:v>Completed generic pair-aspect fallback. Use only when sign/date context is unavailable.</x:v>
      </x:c>
      <x:c r="M43" s="56" t="str">
        <x:v>REVIEW READY</x:v>
      </x:c>
      <x:c r="N43" s="54" t="str">
        <x:v>packages/astro-knowledge/data/transits/mars-conjunction-uranus.json</x:v>
      </x:c>
      <x:c r="O43" s="71" t="str">
        <x:v>d9cb5333951a4c302488d492c7163f77ac724069e2dd78c6199ce2a3140255fa</x:v>
      </x:c>
      <x:c r="P43" s="75" t="str">
        <x:v>INCLUDE</x:v>
      </x:c>
      <x:c r="Q43" s="79" t="str"/>
    </x:row>
    <x:row r="44" ht="92" customHeight="1">
      <x:c r="A44" s="54" t="n">
        <x:v>42</x:v>
      </x:c>
      <x:c r="B44" s="54" t="str">
        <x:v>sky.mars.opposition.uranus</x:v>
      </x:c>
      <x:c r="C44" s="54" t="str">
        <x:v>Mars opposition Uranus</x:v>
      </x:c>
      <x:c r="D44" s="54" t="str">
        <x:v>mars</x:v>
      </x:c>
      <x:c r="E44" s="54" t="str">
        <x:v>opposition</x:v>
      </x:c>
      <x:c r="F44" s="54" t="str">
        <x:v>uranus</x:v>
      </x:c>
      <x:c r="G44" s="54" t="str">
        <x:v>The person demanding an immediate break faces the operators trying to keep a volatile system from collapsing.</x:v>
      </x:c>
      <x:c r="H44" s="54" t="str">
        <x:v>The person demanding an immediate break faces the operators trying to keep a volatile system from collapsing. One side points to an intolerable rule and the cost of waiting; the other points to dependent schedules, safety, and people who cannot absorb a sudden stop. Mars gives the revolt force and timing, while Uranus makes the demand for freedom impossible to fold back into the old arrangement. The opposition places decisive action across from the disruption it creates. The break may be justified, but the aftermath shows who had enough independence to survive it and who did not.</x:v>
      </x:c>
      <x:c r="I44" s="54" t="str">
        <x:v>owner-refined Sky aspect v10.1 corpus; owner direction, chat 2026-08-01</x:v>
      </x:c>
      <x:c r="J44" s="56" t="str">
        <x:v>The person demanding an immediate break faces the people trying to keep a volatile system from collapsing.</x:v>
      </x:c>
      <x:c r="K44" s="56" t="str">
        <x:v>The person demanding an immediate break faces the people trying to keep a volatile system from collapsing. Mars opposite Uranus can turn a needed change into a standoff over timing, especially when one side sees every delay as complicity and the other sees every abrupt move as another source of damage. The old arrangement may be failing, but the replacement still needs somewhere to land. Name what has to stop now and what must stay functional during the transition. Freedom is easier to defend when the exit plan does not create a second emergency.</x:v>
      </x:c>
      <x:c r="L44" s="56" t="str">
        <x:v>Completed generic pair-aspect fallback. Use only when sign/date context is unavailable.</x:v>
      </x:c>
      <x:c r="M44" s="56" t="str">
        <x:v>REVIEW READY</x:v>
      </x:c>
      <x:c r="N44" s="54" t="str">
        <x:v>packages/astro-knowledge/data/transits/mars-opposition-uranus.json</x:v>
      </x:c>
      <x:c r="O44" s="71" t="str">
        <x:v>648e8c6c8517a15c29987c6a3b01353147b86ef37e37c9961fa0792cdd18a1a1</x:v>
      </x:c>
      <x:c r="P44" s="75" t="str">
        <x:v>INCLUDE</x:v>
      </x:c>
      <x:c r="Q44" s="79" t="str"/>
    </x:row>
    <x:row r="45" ht="92" customHeight="1">
      <x:c r="A45" s="54" t="n">
        <x:v>43</x:v>
      </x:c>
      <x:c r="B45" s="54" t="str">
        <x:v>sky.mars.square.uranus</x:v>
      </x:c>
      <x:c r="C45" s="54" t="str">
        <x:v>Mars square Uranus</x:v>
      </x:c>
      <x:c r="D45" s="54" t="str">
        <x:v>mars</x:v>
      </x:c>
      <x:c r="E45" s="54" t="str">
        <x:v>square</x:v>
      </x:c>
      <x:c r="F45" s="54" t="str">
        <x:v>uranus</x:v>
      </x:c>
      <x:c r="G45" s="54" t="str">
        <x:v>One abrupt move triggers a chain reaction before anyone agrees on what should replace the old plan.</x:v>
      </x:c>
      <x:c r="H45" s="54" t="str">
        <x:v>One abrupt move triggers a chain reaction before anyone agrees on what should replace the old plan. A walkout, shutdown, confrontation, or system switch interrupts the work and forces every dependent schedule to react. Mars acts under pressure, while Uranus rejects the rule or arrangement that made the pressure intolerable. The square turns the break into a direct collision between urgency and an unstable system. The action may force a needed change while leaving everyone exposed to the part of the plan that disappeared without a backup.</x:v>
      </x:c>
      <x:c r="I45" s="54" t="str">
        <x:v>owner-refined Sky aspect v10.1 corpus; owner direction, chat 2026-08-01</x:v>
      </x:c>
      <x:c r="J45" s="56" t="str">
        <x:v>One abrupt move triggers a chain reaction before anyone agrees on what should replace the old plan.</x:v>
      </x:c>
      <x:c r="K45" s="56" t="str">
        <x:v>One abrupt move triggers a chain reaction before anyone agrees on what should replace the old plan. Mars square Uranus can make disruption outrun coordination, so a walkout, shutdown, technical change, or public confrontation creates new problems faster than the original one can be solved. The impulse to break the pattern may be right. The timing can still be reckless. Contain the fallout, identify what absolutely has to change, and test the replacement on the smallest scale that still produces useful information.</x:v>
      </x:c>
      <x:c r="L45" s="56" t="str">
        <x:v>Completed generic pair-aspect fallback. Use only when sign/date context is unavailable.</x:v>
      </x:c>
      <x:c r="M45" s="56" t="str">
        <x:v>REVIEW READY</x:v>
      </x:c>
      <x:c r="N45" s="54" t="str">
        <x:v>packages/astro-knowledge/data/transits/mars-square-uranus.json</x:v>
      </x:c>
      <x:c r="O45" s="71" t="str">
        <x:v>005f6790c1ef101fbeb106b743b494e3b8f2ef909ad27f3f14c380d3ba8970c5</x:v>
      </x:c>
      <x:c r="P45" s="75" t="str">
        <x:v>INCLUDE</x:v>
      </x:c>
      <x:c r="Q45" s="79" t="str"/>
    </x:row>
    <x:row r="46" ht="92" customHeight="1">
      <x:c r="A46" s="54" t="n">
        <x:v>44</x:v>
      </x:c>
      <x:c r="B46" s="54" t="str">
        <x:v>sky.mars.trine.uranus</x:v>
      </x:c>
      <x:c r="C46" s="54" t="str">
        <x:v>Mars trine Uranus</x:v>
      </x:c>
      <x:c r="D46" s="54" t="str">
        <x:v>mars</x:v>
      </x:c>
      <x:c r="E46" s="54" t="str">
        <x:v>trine</x:v>
      </x:c>
      <x:c r="F46" s="54" t="str">
        <x:v>uranus</x:v>
      </x:c>
      <x:c r="G46" s="54" t="str">
        <x:v>A faster method solves the emergency without creating a second one.</x:v>
      </x:c>
      <x:c r="H46" s="54" t="str">
        <x:v>A faster method solves the emergency without creating a second one. The team changes tools, reroutes the work, or breaks from the usual sequence and immediately reaches the result the old process kept delaying. Mars supplies the nerve and effort to act, while Uranus provides the unexpected route around the failure. Under the trine, urgency and innovation support each other without making chaos the price of speed. The new approach holds because the break from routine answers the actual problem.</x:v>
      </x:c>
      <x:c r="I46" s="54" t="str">
        <x:v>owner-refined Sky aspect v10.1 corpus; owner direction, chat 2026-08-01</x:v>
      </x:c>
      <x:c r="J46" s="56" t="str">
        <x:v>A faster method solves the immediate problem without creating a second emergency.</x:v>
      </x:c>
      <x:c r="K46" s="56" t="str">
        <x:v>A faster method solves the immediate problem without creating a second emergency. Mars trine Uranus can make quick action and innovation work together when the team already understands the risk and has enough freedom to change the method. A shortcut, alternate tool, or new route gets used because it actually improves the result, not because disruption looks exciting. Keep the experiment tied to the problem it solved. The useful change is the one people can repeat after the adrenaline is gone.</x:v>
      </x:c>
      <x:c r="L46" s="56" t="str">
        <x:v>Completed generic pair-aspect fallback. Use only when sign/date context is unavailable.</x:v>
      </x:c>
      <x:c r="M46" s="56" t="str">
        <x:v>REVIEW READY</x:v>
      </x:c>
      <x:c r="N46" s="54" t="str">
        <x:v>packages/astro-knowledge/data/transits/mars-trine-uranus.json</x:v>
      </x:c>
      <x:c r="O46" s="71" t="str">
        <x:v>36b83b95805c01ea283d89473ad11d028c4ec42a6801c7460dfb7468d7dbbcd4</x:v>
      </x:c>
      <x:c r="P46" s="75" t="str">
        <x:v>INCLUDE</x:v>
      </x:c>
      <x:c r="Q46" s="79" t="str"/>
    </x:row>
    <x:row r="47" ht="92" customHeight="1">
      <x:c r="A47" s="54" t="n">
        <x:v>45</x:v>
      </x:c>
      <x:c r="B47" s="54" t="str">
        <x:v>sky.mars.sextile.uranus</x:v>
      </x:c>
      <x:c r="C47" s="54" t="str">
        <x:v>Mars sextile Uranus</x:v>
      </x:c>
      <x:c r="D47" s="54" t="str">
        <x:v>mars</x:v>
      </x:c>
      <x:c r="E47" s="54" t="str">
        <x:v>sextile</x:v>
      </x:c>
      <x:c r="F47" s="54" t="str">
        <x:v>uranus</x:v>
      </x:c>
      <x:c r="G47" s="54" t="str">
        <x:v>Dropping one outdated rule gives the team a faster route to an urgent problem.</x:v>
      </x:c>
      <x:c r="H47" s="54" t="str">
        <x:v>Dropping one outdated rule gives the team a faster route to an urgent problem. A broken approval step is removed, a better tool is switched on, or a failing method is abandoned before it wastes another shift. Mars acts on the immediate need, while Uranus clears the process that kept slowing the response. The sextile creates room for a smarter intervention, but someone still has to risk changing the method. The move works because it removes a real blockage instead of adding another layer of permission.</x:v>
      </x:c>
      <x:c r="I47" s="54" t="str">
        <x:v>owner-refined Sky aspect v10.1 corpus; owner direction, chat 2026-08-01</x:v>
      </x:c>
      <x:c r="J47" s="56" t="str">
        <x:v>An outdated rule or process opens just enough for someone to try a faster route.</x:v>
      </x:c>
      <x:c r="K47" s="56" t="str">
        <x:v>An outdated rule or process opens just enough for someone to try a faster route. Mars sextile Uranus can turn a narrow exception into a practical test, especially when the official method keeps wasting time or creating the same error. One alternate platform, revised form, or temporary workaround may be all the evidence needed to prove there is a better way. Try the change where the cost of failure is manageable. If it works, document the result before the old process closes back around it.</x:v>
      </x:c>
      <x:c r="L47" s="56" t="str">
        <x:v>Completed generic pair-aspect fallback. Use only when sign/date context is unavailable.</x:v>
      </x:c>
      <x:c r="M47" s="56" t="str">
        <x:v>REVIEW READY</x:v>
      </x:c>
      <x:c r="N47" s="54" t="str">
        <x:v>packages/astro-knowledge/data/transits/mars-sextile-uranus.json</x:v>
      </x:c>
      <x:c r="O47" s="71" t="str">
        <x:v>06dabcd26be7024679f127e2db7f705082091caf8e3a528646ea5d8e457edbf6</x:v>
      </x:c>
      <x:c r="P47" s="75" t="str">
        <x:v>INCLUDE</x:v>
      </x:c>
      <x:c r="Q47" s="79" t="str"/>
    </x:row>
    <x:row r="48" ht="92" customHeight="1">
      <x:c r="A48" s="54" t="n">
        <x:v>46</x:v>
      </x:c>
      <x:c r="B48" s="54" t="str">
        <x:v>sky.mercury.conjunction.jupiter</x:v>
      </x:c>
      <x:c r="C48" s="54" t="str">
        <x:v>Mercury conjunction Jupiter</x:v>
      </x:c>
      <x:c r="D48" s="54" t="str">
        <x:v>mercury</x:v>
      </x:c>
      <x:c r="E48" s="54" t="str">
        <x:v>conjunction</x:v>
      </x:c>
      <x:c r="F48" s="54" t="str">
        <x:v>jupiter</x:v>
      </x:c>
      <x:c r="G48" s="54" t="str">
        <x:v>One announcement turns a local idea into a much larger promise.</x:v>
      </x:c>
      <x:c r="H48" s="54" t="str">
        <x:v>One announcement turns a local idea into a much larger promise. A publication, legal decision, course, campaign, or travel plan reaches more people at the exact moment its language becomes difficult to revise. Mercury gives the idea a message and distribution route, while Jupiter amplifies its reach, confidence, and claim to importance. Under the conjunction, the words and the expansion happen together. The opportunity may be real, but every overstatement now grows with the audience that repeats it.</x:v>
      </x:c>
      <x:c r="I48" s="54" t="str">
        <x:v>owner-refined Sky aspect v10.1 corpus; owner direction, chat 2026-08-01</x:v>
      </x:c>
      <x:c r="J48" s="56" t="str">
        <x:v>One announcement turns a local idea into a much larger promise.</x:v>
      </x:c>
      <x:c r="K48" s="56" t="str">
        <x:v>One announcement turns a local idea into a much larger promise. Mercury conjunct Jupiter can make the message grow with the audience, so a course, campaign, legal decision, or travel plan reaches more people at the exact moment its wording becomes harder to revise. The opportunity may be genuine, but every overstatement now travels farther too. Say what is confirmed and what is still aspirational. A big audience can forgive a limit more easily than it can forgive discovering later that the limit was hidden.</x:v>
      </x:c>
      <x:c r="L48" s="56" t="str">
        <x:v>Completed generic pair-aspect fallback. Use only when sign/date context is unavailable.</x:v>
      </x:c>
      <x:c r="M48" s="56" t="str">
        <x:v>REVIEW READY</x:v>
      </x:c>
      <x:c r="N48" s="54" t="str">
        <x:v>packages/astro-knowledge/data/transits/mercury-conjunction-jupiter.json</x:v>
      </x:c>
      <x:c r="O48" s="71" t="str">
        <x:v>cf693fe891f41c37052d8a404e2c0964364d424e7f7a7861871d48645bc45268</x:v>
      </x:c>
      <x:c r="P48" s="75" t="str">
        <x:v>INCLUDE</x:v>
      </x:c>
      <x:c r="Q48" s="79" t="str"/>
    </x:row>
    <x:row r="49" ht="92" customHeight="1">
      <x:c r="A49" s="54" t="n">
        <x:v>47</x:v>
      </x:c>
      <x:c r="B49" s="54" t="str">
        <x:v>sky.mercury.opposition.jupiter</x:v>
      </x:c>
      <x:c r="C49" s="54" t="str">
        <x:v>Mercury opposition Jupiter</x:v>
      </x:c>
      <x:c r="D49" s="54" t="str">
        <x:v>mercury</x:v>
      </x:c>
      <x:c r="E49" s="54" t="str">
        <x:v>opposition</x:v>
      </x:c>
      <x:c r="F49" s="54" t="str">
        <x:v>jupiter</x:v>
      </x:c>
      <x:c r="G49" s="54" t="str">
        <x:v>The short version says the plan is a major success, while the full report describes mixed results and important limits.</x:v>
      </x:c>
      <x:c r="H49" s="54" t="str">
        <x:v>The short version says the plan is a major success, while the full report describes mixed results and important limits. One side argues that the larger message will attract support; the other warns that the simplified claim changes what the evidence actually says. Mercury holds the details, wording, and exceptions, while Jupiter gives the broad conclusion more reach and authority. The opposition places the useful headline across from the facts it leaves behind. The message may win attention, but the credibility of the project rests on whether the fuller version is allowed to travel too.</x:v>
      </x:c>
      <x:c r="I49" s="54" t="str">
        <x:v>owner-refined Sky aspect v10.1 corpus; owner direction, chat 2026-08-01</x:v>
      </x:c>
      <x:c r="J49" s="56" t="str">
        <x:v>The simple success story meets the report full of limits, exceptions, and mixed results.</x:v>
      </x:c>
      <x:c r="K49" s="56" t="str">
        <x:v>The simple success story meets the report full of limits, exceptions, and mixed results. Mercury opposite Jupiter can put the headline directly across from the fuller explanation, especially when one side wants the message to inspire and the other needs the numbers to remain accurate. The disagreement is not about being positive or negative. It is about how much the claim can carry. Publish the context that materially changes the conclusion, even if it makes the story less impressive.</x:v>
      </x:c>
      <x:c r="L49" s="56" t="str">
        <x:v>Completed generic pair-aspect fallback. Use only when sign/date context is unavailable.</x:v>
      </x:c>
      <x:c r="M49" s="56" t="str">
        <x:v>REVIEW READY</x:v>
      </x:c>
      <x:c r="N49" s="54" t="str">
        <x:v>packages/astro-knowledge/data/transits/mercury-opposition-jupiter.json</x:v>
      </x:c>
      <x:c r="O49" s="71" t="str">
        <x:v>f133516432a837dc58c12fadbac7cfb219dc1165372d6d48905b14a16dd46ffa</x:v>
      </x:c>
      <x:c r="P49" s="75" t="str">
        <x:v>INCLUDE</x:v>
      </x:c>
      <x:c r="Q49" s="79" t="str"/>
    </x:row>
    <x:row r="50" ht="92" customHeight="1">
      <x:c r="A50" s="54" t="n">
        <x:v>48</x:v>
      </x:c>
      <x:c r="B50" s="54" t="str">
        <x:v>sky.mercury.square.jupiter</x:v>
      </x:c>
      <x:c r="C50" s="54" t="str">
        <x:v>Mercury square Jupiter</x:v>
      </x:c>
      <x:c r="D50" s="54" t="str">
        <x:v>mercury</x:v>
      </x:c>
      <x:c r="E50" s="54" t="str">
        <x:v>square</x:v>
      </x:c>
      <x:c r="F50" s="54" t="str">
        <x:v>jupiter</x:v>
      </x:c>
      <x:c r="G50" s="54" t="str">
        <x:v>The headline promises more than the supporting information can defend.</x:v>
      </x:c>
      <x:c r="H50" s="54" t="str">
        <x:v>The headline promises more than the supporting information can defend. A report, pitch, or announcement jumps from one promising result to a sweeping conclusion while the sample, cost, and exceptions remain buried. Mercury keeps returning to the exact claim, while Jupiter expands the meaning until the message reaches far beyond what was proven. The square turns every missing detail into a challenge to the larger story. The idea may keep circulating, but confidence starts to look careless once people compare the claim with the record.</x:v>
      </x:c>
      <x:c r="I50" s="54" t="str">
        <x:v>owner-refined Sky aspect v10.1 corpus; owner direction, chat 2026-08-01</x:v>
      </x:c>
      <x:c r="J50" s="56" t="str">
        <x:v>A confident statement outruns the evidence needed to defend it.</x:v>
      </x:c>
      <x:c r="K50" s="56" t="str">
        <x:v>A confident statement outruns the evidence needed to defend it. Mercury square Jupiter can turn a useful idea into an overpromise once the wording gets broader than the facts underneath it. One estimate becomes a guarantee, one promising result becomes a trend, or one enthusiastic reply becomes proof that everyone agrees. The sentence may travel farther than the correction. Tighten the claim before someone else has to. State exactly what the evidence shows and stop there.</x:v>
      </x:c>
      <x:c r="L50" s="56" t="str">
        <x:v>Completed generic pair-aspect fallback. Use only when sign/date context is unavailable.</x:v>
      </x:c>
      <x:c r="M50" s="56" t="str">
        <x:v>REVIEW READY</x:v>
      </x:c>
      <x:c r="N50" s="54" t="str">
        <x:v>packages/astro-knowledge/data/transits/mercury-square-jupiter.json</x:v>
      </x:c>
      <x:c r="O50" s="71" t="str">
        <x:v>b8db171c9ef3e08632e58cb111e5804093439de476e74a1176ba108d607f2e82</x:v>
      </x:c>
      <x:c r="P50" s="75" t="str">
        <x:v>INCLUDE</x:v>
      </x:c>
      <x:c r="Q50" s="79" t="str"/>
    </x:row>
    <x:row r="51" ht="92" customHeight="1">
      <x:c r="A51" s="54" t="n">
        <x:v>49</x:v>
      </x:c>
      <x:c r="B51" s="54" t="str">
        <x:v>sky.mercury.trine.jupiter</x:v>
      </x:c>
      <x:c r="C51" s="54" t="str">
        <x:v>Mercury trine Jupiter</x:v>
      </x:c>
      <x:c r="D51" s="54" t="str">
        <x:v>mercury</x:v>
      </x:c>
      <x:c r="E51" s="54" t="str">
        <x:v>trine</x:v>
      </x:c>
      <x:c r="F51" s="54" t="str">
        <x:v>jupiter</x:v>
      </x:c>
      <x:c r="G51" s="54" t="str">
        <x:v>The proposal gains support once the big promise is reduced to a cost, schedule, and first step.</x:v>
      </x:c>
      <x:c r="H51" s="54" t="str">
        <x:v>The proposal gains support once the big promise is reduced to a cost, schedule, and first step. A one-page outline shows who is responsible, what the money covers, and how the class, campaign, trip, or expansion will begin. Mercury organizes the information, while Jupiter gives the idea enough reach and confidence to attract backing. Under the trine, detail and vision support each other without shrinking the ambition or exaggerating the plan. The project can grow because the people joining it understand what they are agreeing to and where their effort belongs.</x:v>
      </x:c>
      <x:c r="I51" s="54" t="str">
        <x:v>owner-refined Sky aspect v10.1 corpus; owner direction, chat 2026-08-01</x:v>
      </x:c>
      <x:c r="J51" s="56" t="str">
        <x:v>A large idea becomes easier to believe once someone can explain the cost, schedule, and first step.</x:v>
      </x:c>
      <x:c r="K51" s="56" t="str">
        <x:v>A large idea becomes easier to believe once someone can explain the cost, schedule, and first step. Mercury trine Jupiter can help the message carry the scale of the opportunity without losing the details that make it credible. A proposal, application, publication, or teaching plan lands because the big picture and the practical explanation support each other. This is good timing for making the case. Lead with the reason, then give people the information they need to say yes without guessing what they are agreeing to.</x:v>
      </x:c>
      <x:c r="L51" s="56" t="str">
        <x:v>Completed generic pair-aspect fallback. Use only when sign/date context is unavailable.</x:v>
      </x:c>
      <x:c r="M51" s="56" t="str">
        <x:v>REVIEW READY</x:v>
      </x:c>
      <x:c r="N51" s="54" t="str">
        <x:v>packages/astro-knowledge/data/transits/mercury-trine-jupiter.json</x:v>
      </x:c>
      <x:c r="O51" s="71" t="str">
        <x:v>1af68bc311d8ad300976f3ba0c1079767c536bc5dea4ff80a1f626199f0e89b2</x:v>
      </x:c>
      <x:c r="P51" s="75" t="str">
        <x:v>INCLUDE</x:v>
      </x:c>
      <x:c r="Q51" s="79" t="str"/>
    </x:row>
    <x:row r="52" ht="92" customHeight="1">
      <x:c r="A52" s="54" t="n">
        <x:v>50</x:v>
      </x:c>
      <x:c r="B52" s="54" t="str">
        <x:v>sky.mercury.sextile.jupiter</x:v>
      </x:c>
      <x:c r="C52" s="54" t="str">
        <x:v>Mercury sextile Jupiter</x:v>
      </x:c>
      <x:c r="D52" s="54" t="str">
        <x:v>mercury</x:v>
      </x:c>
      <x:c r="E52" s="54" t="str">
        <x:v>sextile</x:v>
      </x:c>
      <x:c r="F52" s="54" t="str">
        <x:v>jupiter</x:v>
      </x:c>
      <x:c r="G52" s="54" t="str">
        <x:v>A strong idea finds the person who can help it travel farther.</x:v>
      </x:c>
      <x:c r="H52" s="54" t="str">
        <x:v>A strong idea finds the person who can help it travel farther. One introduction, application, or well-timed summary connects the proposal to funding, publication, enrollment, or a larger audience. Mercury gives the opportunity a clear explanation, while Jupiter widens the reach and confidence behind it. The sextile opens access to more support, but someone still has to make the pitch and follow the lead. The idea grows because the larger promise is attached to a specific ask people can answer.</x:v>
      </x:c>
      <x:c r="I52" s="54" t="str">
        <x:v>owner-refined Sky aspect v10.1 corpus; owner direction, chat 2026-08-01</x:v>
      </x:c>
      <x:c r="J52" s="56" t="str">
        <x:v>A strong idea finds the person who can help it travel farther.</x:v>
      </x:c>
      <x:c r="K52" s="56" t="str">
        <x:v>A strong idea finds the person who can help it travel farther. Mercury sextile Jupiter can connect a clear explanation with funding, publication, enrollment, an introduction, or a larger audience. The opportunity grows because the proposal is attached to a specific ask people can answer. Do not bury the request inside a long explanation. Name what is needed, why it matters, and the next step the other person can actually take.</x:v>
      </x:c>
      <x:c r="L52" s="56" t="str">
        <x:v>Completed generic pair-aspect fallback. Use only when sign/date context is unavailable.</x:v>
      </x:c>
      <x:c r="M52" s="56" t="str">
        <x:v>REVIEW READY</x:v>
      </x:c>
      <x:c r="N52" s="54" t="str">
        <x:v>packages/astro-knowledge/data/transits/mercury-sextile-jupiter.json</x:v>
      </x:c>
      <x:c r="O52" s="71" t="str">
        <x:v>fd46b1509cd57bf03d15e050226345d7a1c64e080b48dfa249089e939a23bb19</x:v>
      </x:c>
      <x:c r="P52" s="75" t="str">
        <x:v>INCLUDE</x:v>
      </x:c>
      <x:c r="Q52" s="79" t="str"/>
    </x:row>
    <x:row r="53" ht="92" customHeight="1">
      <x:c r="A53" s="54" t="n">
        <x:v>51</x:v>
      </x:c>
      <x:c r="B53" s="54" t="str">
        <x:v>sky.mercury.conjunction.mars</x:v>
      </x:c>
      <x:c r="C53" s="54" t="str">
        <x:v>Mercury conjunction Mars</x:v>
      </x:c>
      <x:c r="D53" s="54" t="str">
        <x:v>mercury</x:v>
      </x:c>
      <x:c r="E53" s="54" t="str">
        <x:v>conjunction</x:v>
      </x:c>
      <x:c r="F53" s="54" t="str">
        <x:v>mars</x:v>
      </x:c>
      <x:c r="G53" s="54" t="str">
        <x:v>One sentence sets the entire response in motion.</x:v>
      </x:c>
      <x:c r="H53" s="54" t="str">
        <x:v>One sentence sets the entire response in motion. A warning, accusation, instruction, or public post triggers a filing, walkout, purchase, confrontation, or emergency call before anyone can soften the language. Mercury gives the action a message and target, while Mars gives the message force and immediate consequence. Under the conjunction, saying it and doing something about it become one event. The speed may cut through delay, but every careless word now travels with an action that cannot be easily reversed.</x:v>
      </x:c>
      <x:c r="I53" s="54" t="str">
        <x:v>owner-refined Sky aspect v10.1 corpus; owner direction, chat 2026-08-01</x:v>
      </x:c>
      <x:c r="J53" s="56" t="str">
        <x:v>One sentence sets the entire response in motion.</x:v>
      </x:c>
      <x:c r="K53" s="56" t="str">
        <x:v>One sentence sets the entire response in motion. Mercury conjunct Mars can make the message and the action arrive together, so a warning, accusation, instruction, or post triggers a filing, walkout, purchase, confrontation, or emergency call before anyone has time to soften the language. That speed can cut through delay, but careless wording now travels with consequences that are harder to reverse. Say exactly what needs to happen and why. If the sentence is going to start the action, make sure it names the right target.</x:v>
      </x:c>
      <x:c r="L53" s="56" t="str">
        <x:v>Completed generic pair-aspect fallback. Use only when sign/date context is unavailable.</x:v>
      </x:c>
      <x:c r="M53" s="56" t="str">
        <x:v>REVIEW READY</x:v>
      </x:c>
      <x:c r="N53" s="54" t="str">
        <x:v>packages/astro-knowledge/data/transits/mercury-conjunction-mars.json</x:v>
      </x:c>
      <x:c r="O53" s="71" t="str">
        <x:v>7352cfbee3a631161f04521135aa893826d5b5ae8ad1f9a3a9868c7bff934bad</x:v>
      </x:c>
      <x:c r="P53" s="75" t="str">
        <x:v>INCLUDE</x:v>
      </x:c>
      <x:c r="Q53" s="79" t="str"/>
    </x:row>
    <x:row r="54" ht="92" customHeight="1">
      <x:c r="A54" s="54" t="n">
        <x:v>52</x:v>
      </x:c>
      <x:c r="B54" s="54" t="str">
        <x:v>sky.mercury.opposition.mars</x:v>
      </x:c>
      <x:c r="C54" s="54" t="str">
        <x:v>Mercury opposition Mars</x:v>
      </x:c>
      <x:c r="D54" s="54" t="str">
        <x:v>mercury</x:v>
      </x:c>
      <x:c r="E54" s="54" t="str">
        <x:v>opposition</x:v>
      </x:c>
      <x:c r="F54" s="54" t="str">
        <x:v>mars</x:v>
      </x:c>
      <x:c r="G54" s="54" t="str">
        <x:v>One side keeps asking questions while the other treats every question as a delay.</x:v>
      </x:c>
      <x:c r="H54" s="54" t="str">
        <x:v>One side keeps asking questions while the other treats every question as a delay. The planner points to missing information, changing terms, and risks that have not been answered; the operator points to the clock and the cost of waiting. Mercury holds the need to understand and document the move, while Mars gives equal force to the demand for immediate action. The opposition puts explanation and execution across from each other with no room for a vague compromise. A decision may be made, but the result shows whether the team acted with enough information or simply ran out of patience.</x:v>
      </x:c>
      <x:c r="I54" s="54" t="str">
        <x:v>owner-refined Sky aspect v10.1 corpus; owner direction, chat 2026-08-01</x:v>
      </x:c>
      <x:c r="J54" s="56" t="str">
        <x:v>One side keeps asking questions while the other treats every question as a delay.</x:v>
      </x:c>
      <x:c r="K54" s="56" t="str">
        <x:v>One side keeps asking questions while the other treats every question as a delay. Mercury opposite Mars can turn missing information into a fight about timing, especially when the planner sees changing terms and the operator sees a clock that is already running out. Explanation and execution both matter here. The team needs enough information to know what it is doing and a point where discussion ends. Decide which unanswered question could materially change the move, answer that one, and stop using the rest to postpone a decision.</x:v>
      </x:c>
      <x:c r="L54" s="56" t="str">
        <x:v>Completed generic pair-aspect fallback. Use only when sign/date context is unavailable.</x:v>
      </x:c>
      <x:c r="M54" s="56" t="str">
        <x:v>REVIEW READY</x:v>
      </x:c>
      <x:c r="N54" s="54" t="str">
        <x:v>packages/astro-knowledge/data/transits/mercury-opposition-mars.json</x:v>
      </x:c>
      <x:c r="O54" s="71" t="str">
        <x:v>2c17d42c4f1fda9e4d63016b0e4f2cdf96b9cddb6c51df4fde7407c8fe09f895</x:v>
      </x:c>
      <x:c r="P54" s="75" t="str">
        <x:v>INCLUDE</x:v>
      </x:c>
      <x:c r="Q54" s="79" t="str"/>
    </x:row>
    <x:row r="55" ht="92" customHeight="1">
      <x:c r="A55" s="54" t="n">
        <x:v>53</x:v>
      </x:c>
      <x:c r="B55" s="54" t="str">
        <x:v>sky.mercury.square.mars</x:v>
      </x:c>
      <x:c r="C55" s="54" t="str">
        <x:v>Mercury square Mars</x:v>
      </x:c>
      <x:c r="D55" s="54" t="str">
        <x:v>mercury</x:v>
      </x:c>
      <x:c r="E55" s="54" t="str">
        <x:v>square</x:v>
      </x:c>
      <x:c r="F55" s="54" t="str">
        <x:v>mars</x:v>
      </x:c>
      <x:c r="G55" s="54" t="str">
        <x:v>A blunt message turns a solvable problem into a personal confrontation.</x:v>
      </x:c>
      <x:c r="H55" s="54" t="str">
        <x:v>A blunt message turns a solvable problem into a personal confrontation. The sender demands an immediate answer, the recipient responds in kind, and the original question gets buried under accusations about tone and respect. Mercury keeps the exchange moving through words, while Mars sharpens every sentence into a challenge that requires a response. The square pushes the argument forward faster than either side can correct what was said in anger. The issue may still be resolved, but the language leaves damage that lasts longer than the deadline.</x:v>
      </x:c>
      <x:c r="I55" s="54" t="str">
        <x:v>owner-refined Sky aspect v10.1 corpus; owner direction, chat 2026-08-01</x:v>
      </x:c>
      <x:c r="J55" s="56" t="str">
        <x:v>A blunt message turns a solvable problem into a personal confrontation.</x:v>
      </x:c>
      <x:c r="K55" s="56" t="str">
        <x:v>A blunt message turns a solvable problem into a personal confrontation. Mercury square Mars can make every sentence sound like a challenge that requires an immediate reply, so the original question gets buried under arguments about tone, respect, and who started it. The deadline may still be there after the fight, along with damage the task never required. Slow the exchange before sending the next response. State the problem, the answer required, and the deadline, then leave the insult out of the logistics.</x:v>
      </x:c>
      <x:c r="L55" s="56" t="str">
        <x:v>Completed generic pair-aspect fallback. Use only when sign/date context is unavailable.</x:v>
      </x:c>
      <x:c r="M55" s="56" t="str">
        <x:v>REVIEW READY</x:v>
      </x:c>
      <x:c r="N55" s="54" t="str">
        <x:v>packages/astro-knowledge/data/transits/mercury-square-mars.json</x:v>
      </x:c>
      <x:c r="O55" s="71" t="str">
        <x:v>4e0f8a23a67af7f48984d40676148255b06ac5586894775aafe6d9bd2a81a4b0</x:v>
      </x:c>
      <x:c r="P55" s="75" t="str">
        <x:v>INCLUDE</x:v>
      </x:c>
      <x:c r="Q55" s="79" t="str"/>
    </x:row>
    <x:row r="56" ht="92" customHeight="1">
      <x:c r="A56" s="54" t="n">
        <x:v>54</x:v>
      </x:c>
      <x:c r="B56" s="54" t="str">
        <x:v>sky.mercury.trine.mars</x:v>
      </x:c>
      <x:c r="C56" s="54" t="str">
        <x:v>Mercury trine Mars</x:v>
      </x:c>
      <x:c r="D56" s="54" t="str">
        <x:v>mercury</x:v>
      </x:c>
      <x:c r="E56" s="54" t="str">
        <x:v>trine</x:v>
      </x:c>
      <x:c r="F56" s="54" t="str">
        <x:v>mars</x:v>
      </x:c>
      <x:c r="G56" s="54" t="str">
        <x:v>The instructions reach the people doing the work before urgency turns into confusion.</x:v>
      </x:c>
      <x:c r="H56" s="54" t="str">
        <x:v>The instructions reach the people doing the work before urgency turns into confusion. Tasks are named, responsibilities are divided, and the first action follows the message without another round of approval. Mercury keeps the directions precise, while Mars carries them into motion with speed and confidence. Under the trine, speaking and acting reinforce each other without creating a fight over who has authority. The job moves because nobody has to translate a vague order while the deadline keeps closing in.</x:v>
      </x:c>
      <x:c r="I56" s="54" t="str">
        <x:v>owner-refined Sky aspect v10.1 corpus; owner direction, chat 2026-08-01</x:v>
      </x:c>
      <x:c r="J56" s="56" t="str">
        <x:v>The instructions reach the people doing the work before urgency turns into confusion.</x:v>
      </x:c>
      <x:c r="K56" s="56" t="str">
        <x:v>The instructions reach the people doing the work before urgency turns into confusion. Mercury trine Mars can make speaking and acting reinforce each other, especially when tasks are named, responsibilities are divided, and nobody has to translate a vague order while the deadline keeps closing in. This is useful speed because the message is precise enough to move on. Keep the directions short. Name who owns the first action, what done looks like, and when the next handoff happens.</x:v>
      </x:c>
      <x:c r="L56" s="56" t="str">
        <x:v>Completed generic pair-aspect fallback. Use only when sign/date context is unavailable.</x:v>
      </x:c>
      <x:c r="M56" s="56" t="str">
        <x:v>REVIEW READY</x:v>
      </x:c>
      <x:c r="N56" s="54" t="str">
        <x:v>packages/astro-knowledge/data/transits/mercury-trine-mars.json</x:v>
      </x:c>
      <x:c r="O56" s="71" t="str">
        <x:v>44ff384639950e6c5635d4a1f88b52a84994db6cf5a1549c46859965deec4b3a</x:v>
      </x:c>
      <x:c r="P56" s="75" t="str">
        <x:v>INCLUDE</x:v>
      </x:c>
      <x:c r="Q56" s="79" t="str"/>
    </x:row>
    <x:row r="57" ht="92" customHeight="1">
      <x:c r="A57" s="54" t="n">
        <x:v>55</x:v>
      </x:c>
      <x:c r="B57" s="54" t="str">
        <x:v>sky.mercury.sextile.mars</x:v>
      </x:c>
      <x:c r="C57" s="54" t="str">
        <x:v>Mercury sextile Mars</x:v>
      </x:c>
      <x:c r="D57" s="54" t="str">
        <x:v>mercury</x:v>
      </x:c>
      <x:c r="E57" s="54" t="str">
        <x:v>sextile</x:v>
      </x:c>
      <x:c r="F57" s="54" t="str">
        <x:v>mars</x:v>
      </x:c>
      <x:c r="G57" s="54" t="str">
        <x:v>A direct conversation clears a logistical bottleneck that has held up the work.</x:v>
      </x:c>
      <x:c r="H57" s="54" t="str">
        <x:v>A direct conversation clears a logistical bottleneck that has held up the work. A straightforward question about money, scheduling, or household responsibility brings the answer needed to buy supplies, make the payment, or begin. Mercury names the practical question, while Mars turns the answer into action. The sextile opens a clear next step, but someone still has to make the call and move on what they learn. Relief arrives quickly once the immediate need is handled and the work can proceed.</x:v>
      </x:c>
      <x:c r="I57" s="54" t="str">
        <x:v>owner-refined Sky aspect v10.1 corpus; owner direction, chat 2026-08-01</x:v>
      </x:c>
      <x:c r="J57" s="56" t="str">
        <x:v>A direct conversation clears a logistical bottleneck that has held up the work.</x:v>
      </x:c>
      <x:c r="K57" s="56" t="str">
        <x:v>A direct conversation clears a logistical bottleneck that has held up the work. Mercury sextile Mars can turn one practical question about money, scheduling, supplies, or responsibility into the answer needed to begin. The relief comes from specificity, not from having a longer discussion. Make the call. Ask the question that decides the next move, confirm the answer, and act on it before the conversation expands into every other frustration around the project.</x:v>
      </x:c>
      <x:c r="L57" s="56" t="str">
        <x:v>Completed generic pair-aspect fallback. Use only when sign/date context is unavailable.</x:v>
      </x:c>
      <x:c r="M57" s="56" t="str">
        <x:v>REVIEW READY</x:v>
      </x:c>
      <x:c r="N57" s="54" t="str">
        <x:v>packages/astro-knowledge/data/transits/mercury-sextile-mars.json</x:v>
      </x:c>
      <x:c r="O57" s="71" t="str">
        <x:v>ad77a2592ecfb7789e5c70e45166ba60130c9e28e544745dbd3988aa57cab43c</x:v>
      </x:c>
      <x:c r="P57" s="75" t="str">
        <x:v>INCLUDE</x:v>
      </x:c>
      <x:c r="Q57" s="79" t="str"/>
    </x:row>
    <x:row r="58" ht="92" customHeight="1">
      <x:c r="A58" s="54" t="n">
        <x:v>56</x:v>
      </x:c>
      <x:c r="B58" s="54" t="str">
        <x:v>sky.mercury.conjunction.neptune</x:v>
      </x:c>
      <x:c r="C58" s="54" t="str">
        <x:v>Mercury conjunction Neptune</x:v>
      </x:c>
      <x:c r="D58" s="54" t="str">
        <x:v>mercury</x:v>
      </x:c>
      <x:c r="E58" s="54" t="str">
        <x:v>conjunction</x:v>
      </x:c>
      <x:c r="F58" s="54" t="str">
        <x:v>neptune</x:v>
      </x:c>
      <x:c r="G58" s="54" t="str">
        <x:v>A message becomes more powerful because nobody can agree on exactly what it promises.</x:v>
      </x:c>
      <x:c r="H58" s="54" t="str">
        <x:v>A message becomes more powerful because nobody can agree on exactly what it promises. A speech, post, artistic statement, or private assurance leaves enough room for each listener to hear the future they want. Mercury gives the vision words and circulation, while Neptune softens the edges that would make the meaning testable. Under the conjunction, communication and projection become part of the same message. The ambiguity may attract a wide audience while setting up disappointment when people discover they agreed to different versions.</x:v>
      </x:c>
      <x:c r="I58" s="54" t="str">
        <x:v>owner-refined Sky aspect v10.1 corpus; owner direction, chat 2026-08-01</x:v>
      </x:c>
      <x:c r="J58" s="56" t="str">
        <x:v>A message becomes more powerful because nobody can agree on exactly what it promises.</x:v>
      </x:c>
      <x:c r="K58" s="56" t="str">
        <x:v>A message becomes more powerful because nobody can agree on exactly what it promises. Mercury conjunct Neptune can make a speech, post, artistic statement, or private assurance feel meaningful while leaving enough room for each listener to hear the future they want. That ambiguity can build a large audience and a larger disappointment. The problem is not imagination; it is letting imagination stand in for terms. Put the promise into plain language and name what is not guaranteed before people begin planning around different versions of the same message.</x:v>
      </x:c>
      <x:c r="L58" s="56" t="str">
        <x:v>Completed generic pair-aspect fallback. Use only when sign/date context is unavailable.</x:v>
      </x:c>
      <x:c r="M58" s="56" t="str">
        <x:v>REVIEW READY</x:v>
      </x:c>
      <x:c r="N58" s="54" t="str">
        <x:v>packages/astro-knowledge/data/transits/mercury-conjunction-neptune.json</x:v>
      </x:c>
      <x:c r="O58" s="71" t="str">
        <x:v>84cbdf214fbaf939d6982d35c46fdff23430b34151141b3bf6e3109d221fe030</x:v>
      </x:c>
      <x:c r="P58" s="75" t="str">
        <x:v>INCLUDE</x:v>
      </x:c>
      <x:c r="Q58" s="79" t="str"/>
    </x:row>
    <x:row r="59" ht="92" customHeight="1">
      <x:c r="A59" s="54" t="n">
        <x:v>57</x:v>
      </x:c>
      <x:c r="B59" s="54" t="str">
        <x:v>sky.mercury.opposition.neptune</x:v>
      </x:c>
      <x:c r="C59" s="54" t="str">
        <x:v>Mercury opposition Neptune</x:v>
      </x:c>
      <x:c r="D59" s="54" t="str">
        <x:v>mercury</x:v>
      </x:c>
      <x:c r="E59" s="54" t="str">
        <x:v>opposition</x:v>
      </x:c>
      <x:c r="F59" s="54" t="str">
        <x:v>neptune</x:v>
      </x:c>
      <x:c r="G59" s="54" t="str">
        <x:v>The verified account faces a story people prefer because it explains the fear, hope, or outrage more cleanly.</x:v>
      </x:c>
      <x:c r="H59" s="54" t="str">
        <x:v>The verified account faces a story people prefer because it explains the fear, hope, or outrage more cleanly. Reporters, officials, or witnesses point to the available record; supporters of the other version point to intuition, motive, and details they believe were hidden. Mercury holds the facts that can be checked, while Neptune gives the unproven narrative emotional coherence and a devoted audience. The opposition puts evidence and belief across from each other where neither can be ignored. The facts may be stronger, but they still have to compete with a story that has already become meaningful to the people repeating it.</x:v>
      </x:c>
      <x:c r="I59" s="54" t="str">
        <x:v>owner-refined Sky aspect v10.1 corpus; owner direction, chat 2026-08-01</x:v>
      </x:c>
      <x:c r="J59" s="56" t="str">
        <x:v>The verified account faces a story people prefer because it explains the fear, hope, or outrage more cleanly.</x:v>
      </x:c>
      <x:c r="K59" s="56" t="str">
        <x:v>The verified account faces a story people prefer because it explains the fear, hope, or outrage more cleanly. Mercury opposite Neptune can put checkable facts directly against a narrative that already feels emotionally true to the people repeating it. Evidence may be stronger and still lose attention to the better story. Do not answer belief with contempt. Show the source, the date, and the detail that materially changes the claim, then be clear about what the record does not prove.</x:v>
      </x:c>
      <x:c r="L59" s="56" t="str">
        <x:v>Completed generic pair-aspect fallback. Use only when sign/date context is unavailable.</x:v>
      </x:c>
      <x:c r="M59" s="56" t="str">
        <x:v>REVIEW READY</x:v>
      </x:c>
      <x:c r="N59" s="54" t="str">
        <x:v>packages/astro-knowledge/data/transits/mercury-opposition-neptune.json</x:v>
      </x:c>
      <x:c r="O59" s="71" t="str">
        <x:v>5d2f8a3917a66dcf11abe62faf7dd717e836ebd8a7a7f76ee5896fe205b1d60a</x:v>
      </x:c>
      <x:c r="P59" s="75" t="str">
        <x:v>INCLUDE</x:v>
      </x:c>
      <x:c r="Q59" s="79" t="str"/>
    </x:row>
    <x:row r="60" ht="92" customHeight="1">
      <x:c r="A60" s="54" t="n">
        <x:v>58</x:v>
      </x:c>
      <x:c r="B60" s="54" t="str">
        <x:v>sky.mercury.square.neptune</x:v>
      </x:c>
      <x:c r="C60" s="54" t="str">
        <x:v>Mercury square Neptune</x:v>
      </x:c>
      <x:c r="D60" s="54" t="str">
        <x:v>mercury</x:v>
      </x:c>
      <x:c r="E60" s="54" t="str">
        <x:v>square</x:v>
      </x:c>
      <x:c r="F60" s="54" t="str">
        <x:v>neptune</x:v>
      </x:c>
      <x:c r="G60" s="54" t="str">
        <x:v>A rumor travels faster than anyone can check the facts.</x:v>
      </x:c>
      <x:c r="H60" s="54" t="str">
        <x:v>A rumor travels faster than anyone can check the facts. The screenshot looks convincing, but the source may be a repost, the time may be wrong, or one missing detail may change the outcome. Mercury keeps the chatter moving, while Neptune blurs where truth ended and embellishment began. The square makes each attempt to verify the story feel slower and less satisfying than repeating it. An official correction may arrive later, but the wrong version could already be the one everyone remembers.</x:v>
      </x:c>
      <x:c r="I60" s="54" t="str">
        <x:v>owner-refined Sky aspect v10.1 corpus; owner direction, chat 2026-08-01</x:v>
      </x:c>
      <x:c r="J60" s="56" t="str">
        <x:v>A rumor travels faster than anyone can check the facts.</x:v>
      </x:c>
      <x:c r="K60" s="56" t="str">
        <x:v>A rumor travels faster than anyone can check the facts. Mercury square Neptune can make a convincing screenshot, repost, or partial quote feel complete long before anyone verifies the source, time, or missing context. The correction usually arrives with less drama than the wrong version, which means accuracy has to be deliberate. Read twice. Check the original source and the date before forwarding anything that could change what people do next.</x:v>
      </x:c>
      <x:c r="L60" s="56" t="str">
        <x:v>Completed generic pair-aspect fallback. Use only when sign/date context is unavailable.</x:v>
      </x:c>
      <x:c r="M60" s="56" t="str">
        <x:v>REVIEW READY</x:v>
      </x:c>
      <x:c r="N60" s="54" t="str">
        <x:v>packages/astro-knowledge/data/transits/mercury-square-neptune.json</x:v>
      </x:c>
      <x:c r="O60" s="71" t="str">
        <x:v>d2bdb2a12b9c7b1c0b13d9dd0181d453f006874d8efd78cc21d77546d2dbc02c</x:v>
      </x:c>
      <x:c r="P60" s="75" t="str">
        <x:v>INCLUDE</x:v>
      </x:c>
      <x:c r="Q60" s="79" t="str"/>
    </x:row>
    <x:row r="61" ht="92" customHeight="1">
      <x:c r="A61" s="54" t="n">
        <x:v>59</x:v>
      </x:c>
      <x:c r="B61" s="54" t="str">
        <x:v>sky.mercury.trine.neptune</x:v>
      </x:c>
      <x:c r="C61" s="54" t="str">
        <x:v>Mercury trine Neptune</x:v>
      </x:c>
      <x:c r="D61" s="54" t="str">
        <x:v>mercury</x:v>
      </x:c>
      <x:c r="E61" s="54" t="str">
        <x:v>trine</x:v>
      </x:c>
      <x:c r="F61" s="54" t="str">
        <x:v>neptune</x:v>
      </x:c>
      <x:c r="G61" s="54" t="str">
        <x:v>A difficult story is told with enough clarity to move people without exploiting the person at its center.</x:v>
      </x:c>
      <x:c r="H61" s="54" t="str">
        <x:v>Mercury trine Neptune also helps difficult stories be told with honesty and care. Testimony, reporting, art, or a private conversation can hold the emotional truth while keeping dates, names, and responsibilities intact. Mercury keeps the account clear. Neptune keeps the grief, compassion, and emotional meaning present. Fact and feeling support each other instead of forcing people to choose one over the other. The facts do not need to be softened to make people care, and the emotions do not need to be exaggerated to make the truth matter. The story carries more weight because its emotional force does not depend on blurring what actually happened.</x:v>
      </x:c>
      <x:c r="I61" s="54" t="str">
        <x:v>owner-authored hybrid final approved 2026-08-11; supersedes owner-refined Sky aspect v10.1; packages/astro-knowledge/review/sky-aspect-owner-refinements-2026-08-11/sky-aspect-owner-refinements-payloads.json#sky.mercury.trine.neptune</x:v>
      </x:c>
      <x:c r="J61" s="56" t="str">
        <x:v>A difficult story can be told with enough clarity to move people without exploiting the person at its center.</x:v>
      </x:c>
      <x:c r="K61" s="56" t="str">
        <x:v>A difficult story can be told with enough clarity to move people without exploiting the person at its center. Mercury trine Neptune helps fact and feeling support each other, so testimony, reporting, art, or a private conversation can carry grief and meaning while keeping dates, names, and responsibilities intact. The emotional force does not need exaggeration to matter. Preserve the details that can be verified. Let the feeling come from what happened, not from making the story harder than it already is.</x:v>
      </x:c>
      <x:c r="L61" s="56" t="str">
        <x:v>Completed generic pair-aspect fallback. Use only when sign/date context is unavailable.</x:v>
      </x:c>
      <x:c r="M61" s="56" t="str">
        <x:v>REVIEW READY</x:v>
      </x:c>
      <x:c r="N61" s="54" t="str">
        <x:v>packages/astro-knowledge/data/transits/mercury-trine-neptune.json</x:v>
      </x:c>
      <x:c r="O61" s="71" t="str">
        <x:v>831cdad8e8749ac033e6af13a45497adc72c17b98005265b0a8424e7b0fb0bbf</x:v>
      </x:c>
      <x:c r="P61" s="75" t="str">
        <x:v>INCLUDE</x:v>
      </x:c>
      <x:c r="Q61" s="79" t="str"/>
    </x:row>
    <x:row r="62" ht="92" customHeight="1">
      <x:c r="A62" s="54" t="n">
        <x:v>60</x:v>
      </x:c>
      <x:c r="B62" s="54" t="str">
        <x:v>sky.mercury.sextile.neptune</x:v>
      </x:c>
      <x:c r="C62" s="54" t="str">
        <x:v>Mercury sextile Neptune</x:v>
      </x:c>
      <x:c r="D62" s="54" t="str">
        <x:v>mercury</x:v>
      </x:c>
      <x:c r="E62" s="54" t="str">
        <x:v>sextile</x:v>
      </x:c>
      <x:c r="F62" s="54" t="str">
        <x:v>neptune</x:v>
      </x:c>
      <x:c r="G62" s="54" t="str">
        <x:v>A confusing concern becomes understandable after someone finds the image, example, or gentler language that fits it.</x:v>
      </x:c>
      <x:c r="H62" s="54" t="str">
        <x:v>A confusing concern becomes understandable after someone finds the image, example, or gentler language that fits it. A counselor, writer, advocate, or friend turns a vague fear into a specific request another person can answer. Mercury gives the experience words, while Neptune keeps contact with the feeling that ordinary facts did not capture. The sextile opens a route between intuition and explanation, but someone still has to translate what was sensed. The message reaches people because it becomes clear without stripping away why it mattered.</x:v>
      </x:c>
      <x:c r="I62" s="54" t="str">
        <x:v>owner-refined Sky aspect v10.1 corpus; owner direction, chat 2026-08-01</x:v>
      </x:c>
      <x:c r="J62" s="56" t="str">
        <x:v>A confusing concern becomes understandable after someone finds the image, example, or gentler language that fits it.</x:v>
      </x:c>
      <x:c r="K62" s="56" t="str">
        <x:v>A confusing concern becomes understandable after someone finds the image, example, or gentler language that fits it. Mercury sextile Neptune can help a vague fear become a specific request another person can actually answer. The goal is not to flatten the feeling into bullet points; it is to give the feeling enough language to move. Try the example that makes the problem concrete. If the other person understands what happened and what needs to happen next, the translation has done its job.</x:v>
      </x:c>
      <x:c r="L62" s="56" t="str">
        <x:v>Completed generic pair-aspect fallback. Use only when sign/date context is unavailable.</x:v>
      </x:c>
      <x:c r="M62" s="56" t="str">
        <x:v>REVIEW READY</x:v>
      </x:c>
      <x:c r="N62" s="54" t="str">
        <x:v>packages/astro-knowledge/data/transits/mercury-sextile-neptune.json</x:v>
      </x:c>
      <x:c r="O62" s="71" t="str">
        <x:v>54f9b963eaa239dad2ab817af015943337cfef1d20b7815f0281e6c9e6ca3844</x:v>
      </x:c>
      <x:c r="P62" s="75" t="str">
        <x:v>INCLUDE</x:v>
      </x:c>
      <x:c r="Q62" s="79" t="str"/>
    </x:row>
    <x:row r="63" ht="92" customHeight="1">
      <x:c r="A63" s="54" t="n">
        <x:v>61</x:v>
      </x:c>
      <x:c r="B63" s="54" t="str">
        <x:v>sky.mercury.conjunction.pluto</x:v>
      </x:c>
      <x:c r="C63" s="54" t="str">
        <x:v>Mercury conjunction Pluto</x:v>
      </x:c>
      <x:c r="D63" s="54" t="str">
        <x:v>mercury</x:v>
      </x:c>
      <x:c r="E63" s="54" t="str">
        <x:v>conjunction</x:v>
      </x:c>
      <x:c r="F63" s="54" t="str">
        <x:v>pluto</x:v>
      </x:c>
      <x:c r="G63" s="54" t="str">
        <x:v>One private conversation changes who is trusted with the plan.</x:v>
      </x:c>
      <x:c r="H63" s="54" t="str">
        <x:v>One private conversation changes who is trusted with the plan. Missing money, withheld information, or an undisclosed agreement comes to light when someone raises the question everyone else avoided. Mercury follows the evidence until the hidden arrangement is named, while Pluto exposes the loyalty, leverage, and control behind it. Under the conjunction, the discovery and the decision about what happens next land together. The people making the decision may finally understand the truth, but the disclosure permanently changes who is allowed access from this point forward.</x:v>
      </x:c>
      <x:c r="I63" s="54" t="str">
        <x:v>owner-refined Sky aspect v10.1 corpus; owner direction, chat 2026-08-01</x:v>
      </x:c>
      <x:c r="J63" s="56" t="str">
        <x:v>One private conversation changes who is trusted with the plan.</x:v>
      </x:c>
      <x:c r="K63" s="56" t="str">
        <x:v>One private conversation changes who is trusted with the plan. Mercury conjunct Pluto can bring missing money, withheld information, or an undisclosed agreement into the same moment as the decision about what happens next. Once the hidden arrangement is named, access and loyalty are no longer abstract questions. Preserve the record before the conversation gets rewritten afterward. Ask who knew, who approved, and who had something to gain from keeping the information private.</x:v>
      </x:c>
      <x:c r="L63" s="56" t="str">
        <x:v>Completed generic pair-aspect fallback. Use only when sign/date context is unavailable.</x:v>
      </x:c>
      <x:c r="M63" s="56" t="str">
        <x:v>REVIEW READY</x:v>
      </x:c>
      <x:c r="N63" s="54" t="str">
        <x:v>packages/astro-knowledge/data/transits/mercury-conjunction-pluto.json</x:v>
      </x:c>
      <x:c r="O63" s="71" t="str">
        <x:v>f97fad9e85eba00de9ac0fadf88dc3072dcb06a68db301f5527f6b925010d205</x:v>
      </x:c>
      <x:c r="P63" s="75" t="str">
        <x:v>INCLUDE</x:v>
      </x:c>
      <x:c r="Q63" s="79" t="str"/>
    </x:row>
    <x:row r="64" ht="92" customHeight="1">
      <x:c r="A64" s="54" t="n">
        <x:v>62</x:v>
      </x:c>
      <x:c r="B64" s="54" t="str">
        <x:v>sky.mercury.opposition.pluto</x:v>
      </x:c>
      <x:c r="C64" s="54" t="str">
        <x:v>Mercury opposition Pluto</x:v>
      </x:c>
      <x:c r="D64" s="54" t="str">
        <x:v>mercury</x:v>
      </x:c>
      <x:c r="E64" s="54" t="str">
        <x:v>opposition</x:v>
      </x:c>
      <x:c r="F64" s="54" t="str">
        <x:v>pluto</x:v>
      </x:c>
      <x:c r="G64" s="54" t="str">
        <x:v>The person asking for the full record faces the institution determined to limit what can be seen.</x:v>
      </x:c>
      <x:c r="H64" s="54" t="str">
        <x:v>The person asking for the full record faces the institution determined to limit what can be seen. One side cites public interest, inconsistency, and the right to know; the other cites confidentiality, risk, and the authority to withhold. Mercury keeps the questions specific, while Pluto holds the files, access, and consequences attached to releasing them. The opposition forces the questions to face the office with the power to bury the answer. A disclosure may follow, but the struggle shows how much truth depends on who controls the door to the evidence.</x:v>
      </x:c>
      <x:c r="I64" s="54" t="str">
        <x:v>owner-refined Sky aspect v10.1 corpus; owner direction, chat 2026-08-01</x:v>
      </x:c>
      <x:c r="J64" s="56" t="str">
        <x:v>The person asking for the full record faces the institution determined to limit what can be seen.</x:v>
      </x:c>
      <x:c r="K64" s="56" t="str">
        <x:v>The person asking for the full record faces the institution determined to limit what can be seen. Mercury opposite Pluto makes the power behind information impossible to ignore: one side keeps the questions specific while the other controls the files, access, and consequences attached to releasing them. The argument is not only about truth. It is about who gets to decide which truth becomes available. Narrow the request to the document, date, or decision that matters most, and put every refusal in writing.</x:v>
      </x:c>
      <x:c r="L64" s="56" t="str">
        <x:v>Completed generic pair-aspect fallback. Use only when sign/date context is unavailable.</x:v>
      </x:c>
      <x:c r="M64" s="56" t="str">
        <x:v>REVIEW READY</x:v>
      </x:c>
      <x:c r="N64" s="54" t="str">
        <x:v>packages/astro-knowledge/data/transits/mercury-opposition-pluto.json</x:v>
      </x:c>
      <x:c r="O64" s="71" t="str">
        <x:v>e8fd493c22366cd5363cde5bb10b50bb79cf8349f55493f0782278e8c594e611</x:v>
      </x:c>
      <x:c r="P64" s="75" t="str">
        <x:v>INCLUDE</x:v>
      </x:c>
      <x:c r="Q64" s="79" t="str"/>
    </x:row>
    <x:row r="65" ht="92" customHeight="1">
      <x:c r="A65" s="54" t="n">
        <x:v>63</x:v>
      </x:c>
      <x:c r="B65" s="54" t="str">
        <x:v>sky.mercury.square.pluto</x:v>
      </x:c>
      <x:c r="C65" s="54" t="str">
        <x:v>Mercury square Pluto</x:v>
      </x:c>
      <x:c r="D65" s="54" t="str">
        <x:v>mercury</x:v>
      </x:c>
      <x:c r="E65" s="54" t="str">
        <x:v>square</x:v>
      </x:c>
      <x:c r="F65" s="54" t="str">
        <x:v>pluto</x:v>
      </x:c>
      <x:c r="G65" s="54" t="str">
        <x:v>Two sides use selective leaks and edited messages to control what the public believes happened.</x:v>
      </x:c>
      <x:c r="H65" s="54" t="str">
        <x:v>Two sides use selective leaks and edited messages to control what the public believes happened. Each release contains enough truth to wound the other side while withholding the details that would complicate its own position. Mercury keeps the evidence and accusations circulating, while Pluto controls access to the records that could settle the dispute. The square turns communication into a fight over who can force their version into the official history. The truth may eventually emerge, but by then every source has taught the audience to suspect the motive behind the message.</x:v>
      </x:c>
      <x:c r="I65" s="54" t="str">
        <x:v>owner-refined Sky aspect v10.1 corpus; owner direction, chat 2026-08-01</x:v>
      </x:c>
      <x:c r="J65" s="56" t="str">
        <x:v>Two sides use selective leaks and edited messages to control what the public believes happened.</x:v>
      </x:c>
      <x:c r="K65" s="56" t="str">
        <x:v>Two sides use selective leaks and edited messages to control what the public believes happened. Mercury square Pluto can turn communication into a fight over the official history, especially when each release contains enough truth to wound the other side and enough omission to protect its own position. The loudest version is not necessarily the complete one. Save the original records and compare timelines before choosing a side. The missing context is often where the leverage is.</x:v>
      </x:c>
      <x:c r="L65" s="56" t="str">
        <x:v>Completed generic pair-aspect fallback. Use only when sign/date context is unavailable.</x:v>
      </x:c>
      <x:c r="M65" s="56" t="str">
        <x:v>REVIEW READY</x:v>
      </x:c>
      <x:c r="N65" s="54" t="str">
        <x:v>packages/astro-knowledge/data/transits/mercury-square-pluto.json</x:v>
      </x:c>
      <x:c r="O65" s="71" t="str">
        <x:v>2d7ef3a3ddebf603dacad05469f2c259f03e51af990a9c049ffd4ffacb680ad1</x:v>
      </x:c>
      <x:c r="P65" s="75" t="str">
        <x:v>INCLUDE</x:v>
      </x:c>
      <x:c r="Q65" s="79" t="str"/>
    </x:row>
    <x:row r="66" ht="92" customHeight="1">
      <x:c r="A66" s="54" t="n">
        <x:v>64</x:v>
      </x:c>
      <x:c r="B66" s="54" t="str">
        <x:v>sky.mercury.trine.pluto</x:v>
      </x:c>
      <x:c r="C66" s="54" t="str">
        <x:v>Mercury trine Pluto</x:v>
      </x:c>
      <x:c r="D66" s="54" t="str">
        <x:v>mercury</x:v>
      </x:c>
      <x:c r="E66" s="54" t="str">
        <x:v>trine</x:v>
      </x:c>
      <x:c r="F66" s="54" t="str">
        <x:v>pluto</x:v>
      </x:c>
      <x:c r="G66" s="54" t="str">
        <x:v>A careful investigation connects the private decision to the public result without losing the evidence in drama.</x:v>
      </x:c>
      <x:c r="H66" s="54" t="str">
        <x:v>A careful investigation connects the private decision to the public result without losing the evidence in drama. Documents, interviews, and timelines show who knew, who approved, and which account was altered after the fact. Mercury organizes the proof, while Pluto brings hidden power, motive, and leverage into view. Under the trine, the information moves deeply enough to expose the structure without collapsing into speculation. The findings carry weight because the strongest conclusion is also the one the record can support.</x:v>
      </x:c>
      <x:c r="I66" s="54" t="str">
        <x:v>owner-refined Sky aspect v10.1 corpus; owner direction, chat 2026-08-01</x:v>
      </x:c>
      <x:c r="J66" s="56" t="str">
        <x:v>A careful investigation connects a private decision to a public result without losing the evidence in drama.</x:v>
      </x:c>
      <x:c r="K66" s="56" t="str">
        <x:v>A careful investigation connects a private decision to a public result without losing the evidence in drama. Mercury trine Pluto helps documents, interviews, and timelines reveal who knew, who approved, and where the hidden leverage sat. The strongest conclusion is the one the record can actually support. Follow the proof farther than the headline, but do not outrun it. A precise finding carries more weight than a larger accusation the evidence cannot substantiate.</x:v>
      </x:c>
      <x:c r="L66" s="56" t="str">
        <x:v>Completed generic pair-aspect fallback. Use only when sign/date context is unavailable.</x:v>
      </x:c>
      <x:c r="M66" s="56" t="str">
        <x:v>REVIEW READY</x:v>
      </x:c>
      <x:c r="N66" s="54" t="str">
        <x:v>packages/astro-knowledge/data/transits/mercury-trine-pluto.json</x:v>
      </x:c>
      <x:c r="O66" s="71" t="str">
        <x:v>14d3a6aeb26b58dbd243955b5405db5884ec2f2b44d6de3cc1085020ea40f8b7</x:v>
      </x:c>
      <x:c r="P66" s="75" t="str">
        <x:v>INCLUDE</x:v>
      </x:c>
      <x:c r="Q66" s="79" t="str"/>
    </x:row>
    <x:row r="67" ht="92" customHeight="1">
      <x:c r="A67" s="54" t="n">
        <x:v>65</x:v>
      </x:c>
      <x:c r="B67" s="54" t="str">
        <x:v>sky.mercury.sextile.pluto</x:v>
      </x:c>
      <x:c r="C67" s="54" t="str">
        <x:v>Mercury sextile Pluto</x:v>
      </x:c>
      <x:c r="D67" s="54" t="str">
        <x:v>mercury</x:v>
      </x:c>
      <x:c r="E67" s="54" t="str">
        <x:v>sextile</x:v>
      </x:c>
      <x:c r="F67" s="54" t="str">
        <x:v>pluto</x:v>
      </x:c>
      <x:c r="G67" s="54" t="str">
        <x:v>One precise question reaches the record everyone else was willing to leave closed.</x:v>
      </x:c>
      <x:c r="H67" s="54" t="str">
        <x:v>One precise question reaches the record everyone else was willing to leave closed. A discrepancy in the budget, contract, timeline, or access log gives an investigator enough leverage to request the missing document. Mercury follows the detail, while Pluto reveals who benefits from keeping the full answer private. The sextile opens a route toward disclosure, but someone still has to press the question past the first refusal. The inquiry changes the conversation because it reaches the source of control instead of arguing with the official summary.</x:v>
      </x:c>
      <x:c r="I67" s="54" t="str">
        <x:v>owner-refined Sky aspect v10.1 corpus; owner direction, chat 2026-08-01</x:v>
      </x:c>
      <x:c r="J67" s="56" t="str">
        <x:v>One precise question reaches the record everyone else was willing to leave closed.</x:v>
      </x:c>
      <x:c r="K67" s="56" t="str">
        <x:v>One precise question reaches the record everyone else was willing to leave closed. Mercury sextile Pluto can turn a discrepancy in a budget, contract, timeline, or access log into enough leverage to request the missing document. This is where specificity matters. Do not argue with the official summary if one detail can test it. Ask for the source behind the claim, follow the first refusal, and keep the request narrow enough that an evasive answer becomes obvious.</x:v>
      </x:c>
      <x:c r="L67" s="56" t="str">
        <x:v>Completed generic pair-aspect fallback. Use only when sign/date context is unavailable.</x:v>
      </x:c>
      <x:c r="M67" s="56" t="str">
        <x:v>REVIEW READY</x:v>
      </x:c>
      <x:c r="N67" s="54" t="str">
        <x:v>packages/astro-knowledge/data/transits/mercury-sextile-pluto.json</x:v>
      </x:c>
      <x:c r="O67" s="71" t="str">
        <x:v>cd610b8cffceecf0549888aab2b1cc770298802d694b4c75d049fb6fd17017fd</x:v>
      </x:c>
      <x:c r="P67" s="75" t="str">
        <x:v>INCLUDE</x:v>
      </x:c>
      <x:c r="Q67" s="79" t="str"/>
    </x:row>
    <x:row r="68" ht="92" customHeight="1">
      <x:c r="A68" s="54" t="n">
        <x:v>66</x:v>
      </x:c>
      <x:c r="B68" s="54" t="str">
        <x:v>sky.mercury.conjunction.saturn</x:v>
      </x:c>
      <x:c r="C68" s="54" t="str">
        <x:v>Mercury conjunction Saturn</x:v>
      </x:c>
      <x:c r="D68" s="54" t="str">
        <x:v>mercury</x:v>
      </x:c>
      <x:c r="E68" s="54" t="str">
        <x:v>conjunction</x:v>
      </x:c>
      <x:c r="F68" s="54" t="str">
        <x:v>saturn</x:v>
      </x:c>
      <x:c r="G68" s="54" t="str">
        <x:v>The meeting ends with a sentence no one can later pretend they misunderstood.</x:v>
      </x:c>
      <x:c r="H68" s="54" t="str">
        <x:v>The meeting ends with a sentence no one can later pretend they misunderstood. A signed statement, formal warning, binding promise, or documented refusal fixes the answer in the record. Mercury puts the terms into exact language, while Saturn attaches authority, duty, and consequence to every word. Under the conjunction, the message and the limit become one official fact. The clarity may protect everyone involved, but it leaves very little room to soften or walk back the answer later.</x:v>
      </x:c>
      <x:c r="I68" s="54" t="str">
        <x:v>owner-refined Sky aspect v10.1 corpus; owner direction, chat 2026-08-01</x:v>
      </x:c>
      <x:c r="J68" s="56" t="str">
        <x:v>The meeting ends with a sentence no one can later pretend they misunderstood.</x:v>
      </x:c>
      <x:c r="K68" s="56" t="str">
        <x:v>The meeting ends with a sentence no one can later pretend they misunderstood. Mercury conjunct Saturn can make the wording and the consequence part of the same official fact, especially in a signed statement, formal warning, binding promise, or documented refusal. The clarity may feel strict, but it protects everyone from a later version of what was supposedly meant. Put the condition, date, responsibility, and consequence in writing. If the answer matters, it should survive being read again next month.</x:v>
      </x:c>
      <x:c r="L68" s="56" t="str">
        <x:v>Completed generic pair-aspect fallback. Use only when sign/date context is unavailable.</x:v>
      </x:c>
      <x:c r="M68" s="56" t="str">
        <x:v>REVIEW READY</x:v>
      </x:c>
      <x:c r="N68" s="54" t="str">
        <x:v>packages/astro-knowledge/data/transits/mercury-conjunction-saturn.json</x:v>
      </x:c>
      <x:c r="O68" s="71" t="str">
        <x:v>deb4c59d0e9b773ce7b284979bd5350be37c400f66b43d97d6e8cc043a173dfa</x:v>
      </x:c>
      <x:c r="P68" s="75" t="str">
        <x:v>INCLUDE</x:v>
      </x:c>
      <x:c r="Q68" s="79" t="str"/>
    </x:row>
    <x:row r="69" ht="92" customHeight="1">
      <x:c r="A69" s="54" t="n">
        <x:v>67</x:v>
      </x:c>
      <x:c r="B69" s="54" t="str">
        <x:v>sky.mercury.opposition.saturn</x:v>
      </x:c>
      <x:c r="C69" s="54" t="str">
        <x:v>Mercury opposition Saturn</x:v>
      </x:c>
      <x:c r="D69" s="54" t="str">
        <x:v>mercury</x:v>
      </x:c>
      <x:c r="E69" s="54" t="str">
        <x:v>opposition</x:v>
      </x:c>
      <x:c r="F69" s="54" t="str">
        <x:v>saturn</x:v>
      </x:c>
      <x:c r="G69" s="54" t="str">
        <x:v>The person requesting an answer faces the official responsible for making every word survive review.</x:v>
      </x:c>
      <x:c r="H69" s="54" t="str">
        <x:v>The person requesting an answer faces the official responsible for making every word survive review. One side points to prior conversations, urgency, and what was reasonably understood; the other points to missing proof, limited authority, and the exact language on file. Mercury keeps questions and explanations moving, while Saturn gives the written limit more weight than the informal promise. The opposition places the need for an answer across from the institution's refusal to say more than it can defend. The response may be technically accurate while the person waiting on it discovers how little the earlier reassurance was worth.</x:v>
      </x:c>
      <x:c r="I69" s="54" t="str">
        <x:v>owner-refined Sky aspect v10.1 corpus; owner direction, chat 2026-08-01</x:v>
      </x:c>
      <x:c r="J69" s="56" t="str">
        <x:v>The person requesting an answer faces the official responsible for making every word survive review.</x:v>
      </x:c>
      <x:c r="K69" s="56" t="str">
        <x:v>The person requesting an answer faces the official responsible for making every word survive review. Mercury opposite Saturn can put urgency and prior conversations directly against missing proof, limited authority, and the exact language on file. A technically correct answer may still expose how little the earlier reassurance was worth. Ask for the rule behind the refusal and the evidence required to change it. Do not keep negotiating with a promise that never made it into the record.</x:v>
      </x:c>
      <x:c r="L69" s="56" t="str">
        <x:v>Completed generic pair-aspect fallback. Use only when sign/date context is unavailable.</x:v>
      </x:c>
      <x:c r="M69" s="56" t="str">
        <x:v>REVIEW READY</x:v>
      </x:c>
      <x:c r="N69" s="54" t="str">
        <x:v>packages/astro-knowledge/data/transits/mercury-opposition-saturn.json</x:v>
      </x:c>
      <x:c r="O69" s="71" t="str">
        <x:v>bb790488085ec4b19c3c5a3e52512e218ac20ea99c760967b46282f85ca8b608</x:v>
      </x:c>
      <x:c r="P69" s="75" t="str">
        <x:v>INCLUDE</x:v>
      </x:c>
      <x:c r="Q69" s="79" t="str"/>
    </x:row>
    <x:row r="70" ht="92" customHeight="1">
      <x:c r="A70" s="54" t="n">
        <x:v>68</x:v>
      </x:c>
      <x:c r="B70" s="54" t="str">
        <x:v>sky.mercury.square.saturn</x:v>
      </x:c>
      <x:c r="C70" s="54" t="str">
        <x:v>Mercury square Saturn</x:v>
      </x:c>
      <x:c r="D70" s="54" t="str">
        <x:v>mercury</x:v>
      </x:c>
      <x:c r="E70" s="54" t="str">
        <x:v>square</x:v>
      </x:c>
      <x:c r="F70" s="54" t="str">
        <x:v>saturn</x:v>
      </x:c>
      <x:c r="G70" s="54" t="str">
        <x:v>A promised answer arrives late and covers far less than what was originally discussed.</x:v>
      </x:c>
      <x:c r="H70" s="54" t="str">
        <x:v>A promised answer arrives late and covers far less than what was originally discussed. The email approves one small request, denies another, and sends everything else back for more documentation, signatures, and formal sign-offs. Mercury keeps the digital crossfire buzzing, with questions, revisions, and new voices piling up by the hour, while Saturn limits the response to the absolute minimum someone is willing to put in writing. Under the tension of the square, every unanswered question becomes another reason to hold the decision back. The final answer may satisfy official policy, but the people who planned their lives around the original promise are left absorbing the fallout.</x:v>
      </x:c>
      <x:c r="I70" s="54" t="str">
        <x:v>owner-refined Sky aspect v10.1 corpus; owner direction, chat 2026-08-01</x:v>
      </x:c>
      <x:c r="J70" s="56" t="str">
        <x:v>A promised answer arrives late and covers far less than what was originally discussed.</x:v>
      </x:c>
      <x:c r="K70" s="56" t="str">
        <x:v>A promised answer arrives late and covers far less than what was originally discussed. Mercury square Saturn can turn one request into a chain of revisions, signatures, and formal sign-offs until the response is reduced to the minimum someone is willing to put in writing. The email may satisfy policy while leaving the people who planned around the earlier conversation absorbing the fallout. Read the answer twice. Separate what was approved, denied, and sent back, then ask one direct question about the part that still changes the next move.</x:v>
      </x:c>
      <x:c r="L70" s="56" t="str">
        <x:v>Completed generic pair-aspect fallback. Use only when sign/date context is unavailable.</x:v>
      </x:c>
      <x:c r="M70" s="56" t="str">
        <x:v>REVIEW READY</x:v>
      </x:c>
      <x:c r="N70" s="54" t="str">
        <x:v>packages/astro-knowledge/data/transits/mercury-square-saturn.json</x:v>
      </x:c>
      <x:c r="O70" s="71" t="str">
        <x:v>e9ce49d1646b1dd51b904ea798779cdc7e1ec381fb3038773a8627360234ad43</x:v>
      </x:c>
      <x:c r="P70" s="75" t="str">
        <x:v>INCLUDE</x:v>
      </x:c>
      <x:c r="Q70" s="79" t="str"/>
    </x:row>
    <x:row r="71" ht="92" customHeight="1">
      <x:c r="A71" s="54" t="n">
        <x:v>69</x:v>
      </x:c>
      <x:c r="B71" s="54" t="str">
        <x:v>sky.mercury.trine.saturn</x:v>
      </x:c>
      <x:c r="C71" s="54" t="str">
        <x:v>Mercury trine Saturn</x:v>
      </x:c>
      <x:c r="D71" s="54" t="str">
        <x:v>mercury</x:v>
      </x:c>
      <x:c r="E71" s="54" t="str">
        <x:v>trine</x:v>
      </x:c>
      <x:c r="F71" s="54" t="str">
        <x:v>saturn</x:v>
      </x:c>
      <x:c r="G71" s="54" t="str">
        <x:v>The final answer arrives with every condition, date, and responsibility clearly stated.</x:v>
      </x:c>
      <x:c r="H71" s="54" t="str">
        <x:v>The final answer arrives with every condition, date, and responsibility clearly stated. The approval, refusal, contract, or warning can be followed without another call because the language matches the policy it is meant to enforce. Mercury makes the terms exact, while Saturn gives those terms authority and consequence. Under the trine, the message and the rule support each other without hiding behind unnecessary complexity. The clarity may feel strict, but nobody is left building a plan around an answer that can be quietly reinterpreted later.</x:v>
      </x:c>
      <x:c r="I71" s="54" t="str">
        <x:v>owner-refined Sky aspect v10.1 corpus; owner direction, chat 2026-08-01</x:v>
      </x:c>
      <x:c r="J71" s="56" t="str">
        <x:v>The final answer arrives with every condition, date, and responsibility clearly stated.</x:v>
      </x:c>
      <x:c r="K71" s="56" t="str">
        <x:v>The final answer arrives with every condition, date, and responsibility clearly stated. Mercury trine Saturn makes the message useful because the language matches the rule it is meant to enforce, so an approval, refusal, contract, or warning can be followed without another call. Strict is easier to work with than vague. Put the important dates somewhere visible and plan from what is actually written, not from the more generous version everyone hoped the answer would become.</x:v>
      </x:c>
      <x:c r="L71" s="56" t="str">
        <x:v>Completed generic pair-aspect fallback. Use only when sign/date context is unavailable.</x:v>
      </x:c>
      <x:c r="M71" s="56" t="str">
        <x:v>REVIEW READY</x:v>
      </x:c>
      <x:c r="N71" s="54" t="str">
        <x:v>packages/astro-knowledge/data/transits/mercury-trine-saturn.json</x:v>
      </x:c>
      <x:c r="O71" s="71" t="str">
        <x:v>a672d2d54391c411aea7eb0c03ff9812e7722d4ccab39e8b3290a99b3411234c</x:v>
      </x:c>
      <x:c r="P71" s="75" t="str">
        <x:v>INCLUDE</x:v>
      </x:c>
      <x:c r="Q71" s="79" t="str"/>
    </x:row>
    <x:row r="72" ht="92" customHeight="1">
      <x:c r="A72" s="54" t="n">
        <x:v>70</x:v>
      </x:c>
      <x:c r="B72" s="54" t="str">
        <x:v>sky.mercury.sextile.saturn</x:v>
      </x:c>
      <x:c r="C72" s="54" t="str">
        <x:v>Mercury sextile Saturn</x:v>
      </x:c>
      <x:c r="D72" s="54" t="str">
        <x:v>mercury</x:v>
      </x:c>
      <x:c r="E72" s="54" t="str">
        <x:v>sextile</x:v>
      </x:c>
      <x:c r="F72" s="54" t="str">
        <x:v>saturn</x:v>
      </x:c>
      <x:c r="G72" s="54" t="str">
        <x:v>A delayed answer moves after someone supplies the missing proof in exactly the required form.</x:v>
      </x:c>
      <x:c r="H72" s="54" t="str">
        <x:v>A delayed answer moves after someone supplies the missing proof in exactly the required form. One document, corrected line, signature, or responsible contact gives the reviewer enough support to release part of the request. Mercury identifies the information holding the decision back, while Saturn determines what can be authorized and entered into the record. The sextile opens a narrow route through the restriction, but someone still has to meet the condition. The result may be smaller than first requested, yet the portion that clears is solid enough to rely on.</x:v>
      </x:c>
      <x:c r="I72" s="54" t="str">
        <x:v>owner-refined Sky aspect v10.1 corpus; owner direction, chat 2026-08-01</x:v>
      </x:c>
      <x:c r="J72" s="56" t="str">
        <x:v>A delayed answer moves after someone supplies the missing proof in exactly the required form.</x:v>
      </x:c>
      <x:c r="K72" s="56" t="str">
        <x:v>A delayed answer moves after someone supplies the missing proof in exactly the required form. Mercury sextile Saturn can turn one corrected line, signature, document, or responsible contact into the condition that releases part of the request. The result may be smaller than originally hoped for, but the portion that clears is solid enough to rely on. Give the reviewer the exact evidence being requested. Once that piece is accepted, build from the answer already on the page instead of reopening the entire case.</x:v>
      </x:c>
      <x:c r="L72" s="56" t="str">
        <x:v>Completed generic pair-aspect fallback. Use only when sign/date context is unavailable.</x:v>
      </x:c>
      <x:c r="M72" s="56" t="str">
        <x:v>REVIEW READY</x:v>
      </x:c>
      <x:c r="N72" s="54" t="str">
        <x:v>packages/astro-knowledge/data/transits/mercury-sextile-saturn.json</x:v>
      </x:c>
      <x:c r="O72" s="71" t="str">
        <x:v>e5925c97621801d3572fe41f8930ecae44556ade9953f624e4c5e78a23098ec8</x:v>
      </x:c>
      <x:c r="P72" s="75" t="str">
        <x:v>INCLUDE</x:v>
      </x:c>
      <x:c r="Q72" s="79" t="str"/>
    </x:row>
    <x:row r="73" ht="92" customHeight="1">
      <x:c r="A73" s="54" t="n">
        <x:v>71</x:v>
      </x:c>
      <x:c r="B73" s="54" t="str">
        <x:v>sky.mercury.conjunction.uranus</x:v>
      </x:c>
      <x:c r="C73" s="54" t="str">
        <x:v>Mercury conjunction Uranus</x:v>
      </x:c>
      <x:c r="D73" s="54" t="str">
        <x:v>mercury</x:v>
      </x:c>
      <x:c r="E73" s="54" t="str">
        <x:v>conjunction</x:v>
      </x:c>
      <x:c r="F73" s="54" t="str">
        <x:v>uranus</x:v>
      </x:c>
      <x:c r="G73" s="54" t="str">
        <x:v>One message changes the direction of the entire conversation before anyone can prepare a response.</x:v>
      </x:c>
      <x:c r="H73" s="54" t="str">
        <x:v>One message changes the direction of the entire conversation before anyone can prepare a response. A leak, alert, resignation note, discovery, or technical breakthrough reaches every screen and makes the older explanation immediately irrelevant. Mercury carries the information, while Uranus makes its arrival sudden, far-reaching, and difficult to control. Under the conjunction, the news and the break from the old plan happen as one event. The revelation may create a better route forward while leaving the people responsible for the earlier story scrambling to catch up.</x:v>
      </x:c>
      <x:c r="I73" s="54" t="str">
        <x:v>owner-refined Sky aspect v10.1 corpus; owner direction, chat 2026-08-01</x:v>
      </x:c>
      <x:c r="J73" s="56" t="str">
        <x:v>One message changes the direction of the entire conversation before anyone can prepare a response.</x:v>
      </x:c>
      <x:c r="K73" s="56" t="str">
        <x:v>One message changes the direction of the entire conversation before anyone can prepare a response. Mercury conjunct Uranus can make a leak, alert, resignation note, discovery, or technical breakthrough invalidate the older explanation almost instantly. The information and the break from the old plan arrive together. Speed matters, but everyone still needs to know which facts are confirmed. Share the update, mark what is still changing, and stop pretending the previous plan can remain intact if the new information has already made it obsolete.</x:v>
      </x:c>
      <x:c r="L73" s="56" t="str">
        <x:v>Completed generic pair-aspect fallback. Use only when sign/date context is unavailable.</x:v>
      </x:c>
      <x:c r="M73" s="56" t="str">
        <x:v>REVIEW READY</x:v>
      </x:c>
      <x:c r="N73" s="54" t="str">
        <x:v>packages/astro-knowledge/data/transits/mercury-conjunction-uranus.json</x:v>
      </x:c>
      <x:c r="O73" s="71" t="str">
        <x:v>624d139a67081b61ad1bd17889d521770e9caa49dcae4c124fe122715622e5c6</x:v>
      </x:c>
      <x:c r="P73" s="75" t="str">
        <x:v>INCLUDE</x:v>
      </x:c>
      <x:c r="Q73" s="79" t="str"/>
    </x:row>
    <x:row r="74" ht="92" customHeight="1">
      <x:c r="A74" s="54" t="n">
        <x:v>72</x:v>
      </x:c>
      <x:c r="B74" s="54" t="str">
        <x:v>sky.mercury.opposition.uranus</x:v>
      </x:c>
      <x:c r="C74" s="54" t="str">
        <x:v>Mercury opposition Uranus</x:v>
      </x:c>
      <x:c r="D74" s="54" t="str">
        <x:v>mercury</x:v>
      </x:c>
      <x:c r="E74" s="54" t="str">
        <x:v>opposition</x:v>
      </x:c>
      <x:c r="F74" s="54" t="str">
        <x:v>uranus</x:v>
      </x:c>
      <x:c r="G74" s="54" t="str">
        <x:v>The official update says the system is under control while users, staff, or residents document a completely different failure.</x:v>
      </x:c>
      <x:c r="H74" s="54" t="str">
        <x:v>The official update says the system is under control while users, staff, or residents document a completely different failure. One side points to approved language and scheduled repairs; the other posts outages, errors, and workarounds that are happening now. Mercury holds the stated explanation, while Uranus makes the unexpected evidence impossible to contain. The opposition places the controlled message across from the live record of disruption. The organization may restore the system, but credibility depends on whether it admits how far the public was ahead of the official account.</x:v>
      </x:c>
      <x:c r="I74" s="54" t="str">
        <x:v>owner-refined Sky aspect v10.1 corpus; owner direction, chat 2026-08-01</x:v>
      </x:c>
      <x:c r="J74" s="56" t="str">
        <x:v>The official update says the system is under control while users, staff, or residents document a completely different failure.</x:v>
      </x:c>
      <x:c r="K74" s="56" t="str">
        <x:v>The official update says the system is under control while users, staff, or residents document a completely different failure. Mercury opposite Uranus puts the approved explanation directly against the live record of outages, errors, and workarounds happening now. Credibility depends on acknowledging the mismatch before somebody outside the institution does. Compare the official timeline with the reports coming from the people using the system. Update the statement when the public has better information than the people writing it.</x:v>
      </x:c>
      <x:c r="L74" s="56" t="str">
        <x:v>Completed generic pair-aspect fallback. Use only when sign/date context is unavailable.</x:v>
      </x:c>
      <x:c r="M74" s="56" t="str">
        <x:v>REVIEW READY</x:v>
      </x:c>
      <x:c r="N74" s="54" t="str">
        <x:v>packages/astro-knowledge/data/transits/mercury-opposition-uranus.json</x:v>
      </x:c>
      <x:c r="O74" s="71" t="str">
        <x:v>a102d5388f32a04e699979a4585a7601025d849b9e64093f5f9d726a220160ae</x:v>
      </x:c>
      <x:c r="P74" s="75" t="str">
        <x:v>INCLUDE</x:v>
      </x:c>
      <x:c r="Q74" s="79" t="str"/>
    </x:row>
    <x:row r="75" ht="92" customHeight="1">
      <x:c r="A75" s="54" t="n">
        <x:v>73</x:v>
      </x:c>
      <x:c r="B75" s="54" t="str">
        <x:v>sky.mercury.square.uranus</x:v>
      </x:c>
      <x:c r="C75" s="54" t="str">
        <x:v>Mercury square Uranus</x:v>
      </x:c>
      <x:c r="D75" s="54" t="str">
        <x:v>mercury</x:v>
      </x:c>
      <x:c r="E75" s="54" t="str">
        <x:v>square</x:v>
      </x:c>
      <x:c r="F75" s="54" t="str">
        <x:v>uranus</x:v>
      </x:c>
      <x:c r="G75" s="54" t="str">
        <x:v>Unexpected news reaches the public before the people responsible for explaining it have the same information.</x:v>
      </x:c>
      <x:c r="H75" s="54" t="str">
        <x:v>Unexpected news reaches the public before the people responsible for explaining it have the same information. Screenshots, partial updates, and conflicting instructions spread while the official channel changes its answer in real time. Mercury tries to establish what is accurate, while Uranus keeps disrupting how the message is delivered and who receives it first. The square makes every correction compete with a newer surprise. The facts may eventually settle, but the disorder teaches people to trust speed over the source meant to verify it.</x:v>
      </x:c>
      <x:c r="I75" s="54" t="str">
        <x:v>owner-refined Sky aspect v10.1 corpus; owner direction, chat 2026-08-01</x:v>
      </x:c>
      <x:c r="J75" s="56" t="str">
        <x:v>Unexpected news reaches the public before the people responsible for explaining it have the same information.</x:v>
      </x:c>
      <x:c r="K75" s="56" t="str">
        <x:v>Unexpected news reaches the public before the people responsible for explaining it have the same information. Mercury square Uranus can make every correction compete with a newer screenshot, alert, or conflicting instruction, teaching people to trust speed over the source meant to verify it. The answer may change in real time. That is not a reason to guess. State what is confirmed, timestamp the update, and tell people when the next verified answer is coming.</x:v>
      </x:c>
      <x:c r="L75" s="56" t="str">
        <x:v>Completed generic pair-aspect fallback. Use only when sign/date context is unavailable.</x:v>
      </x:c>
      <x:c r="M75" s="56" t="str">
        <x:v>REVIEW READY</x:v>
      </x:c>
      <x:c r="N75" s="54" t="str">
        <x:v>packages/astro-knowledge/data/transits/mercury-square-uranus.json</x:v>
      </x:c>
      <x:c r="O75" s="71" t="str">
        <x:v>44ee8f5c73e1b84c3b096f8b224a5d942473829bf4fcec2236fe4bb1a7bb2402</x:v>
      </x:c>
      <x:c r="P75" s="75" t="str">
        <x:v>INCLUDE</x:v>
      </x:c>
      <x:c r="Q75" s="79" t="str"/>
    </x:row>
    <x:row r="76" ht="92" customHeight="1">
      <x:c r="A76" s="54" t="n">
        <x:v>74</x:v>
      </x:c>
      <x:c r="B76" s="54" t="str">
        <x:v>sky.mercury.trine.uranus</x:v>
      </x:c>
      <x:c r="C76" s="54" t="str">
        <x:v>Mercury trine Uranus</x:v>
      </x:c>
      <x:c r="D76" s="54" t="str">
        <x:v>mercury</x:v>
      </x:c>
      <x:c r="E76" s="54" t="str">
        <x:v>trine</x:v>
      </x:c>
      <x:c r="F76" s="54" t="str">
        <x:v>uranus</x:v>
      </x:c>
      <x:c r="G76" s="54" t="str">
        <x:v>Spotting the single detail everyone else glossed over fixes a problem that has been costing time and money.</x:v>
      </x:c>
      <x:c r="H76" s="54" t="str">
        <x:v>Spotting the single detail everyone else glossed over fixes a problem that has been costing time and money. A minor system update or a quick correction on paper resolves the issue right at the root. Mercury catches the error, while Uranus replaces the outdated process that allowed it to continue. Under the trine, a small correction travels through the system and clears a much larger blockage. The fix may look minor on paper even as the entire workflow becomes faster once it is made.</x:v>
      </x:c>
      <x:c r="I76" s="54" t="str">
        <x:v>owner-refined Sky aspect v10.1 corpus; owner direction, chat 2026-08-01</x:v>
      </x:c>
      <x:c r="J76" s="56" t="str">
        <x:v>Spotting one detail everyone else glossed over fixes a problem that has been costing time and money.</x:v>
      </x:c>
      <x:c r="K76" s="56" t="str">
        <x:v>Spotting one detail everyone else glossed over fixes a problem that has been costing time and money. Mercury trine Uranus can make a small correction travel through the system quickly, especially when an outdated form, setting, or process is the thing causing the larger blockage. The fix may look minor on paper while the workflow gets dramatically easier. Make the change and document why it worked. The useful insight is the one the next person does not have to rediscover from scratch.</x:v>
      </x:c>
      <x:c r="L76" s="56" t="str">
        <x:v>Completed generic pair-aspect fallback. Use only when sign/date context is unavailable.</x:v>
      </x:c>
      <x:c r="M76" s="56" t="str">
        <x:v>REVIEW READY</x:v>
      </x:c>
      <x:c r="N76" s="54" t="str">
        <x:v>packages/astro-knowledge/data/transits/mercury-trine-uranus.json</x:v>
      </x:c>
      <x:c r="O76" s="71" t="str">
        <x:v>ec579bbfca363de78451e658ec2cfce4a4551c013bb87a4e7d8c11611bc2a831</x:v>
      </x:c>
      <x:c r="P76" s="75" t="str">
        <x:v>INCLUDE</x:v>
      </x:c>
      <x:c r="Q76" s="79" t="str"/>
    </x:row>
    <x:row r="77" ht="92" customHeight="1">
      <x:c r="A77" s="54" t="n">
        <x:v>75</x:v>
      </x:c>
      <x:c r="B77" s="54" t="str">
        <x:v>sky.mercury.sextile.uranus</x:v>
      </x:c>
      <x:c r="C77" s="54" t="str">
        <x:v>Mercury sextile Uranus</x:v>
      </x:c>
      <x:c r="D77" s="54" t="str">
        <x:v>mercury</x:v>
      </x:c>
      <x:c r="E77" s="54" t="str">
        <x:v>sextile</x:v>
      </x:c>
      <x:c r="F77" s="54" t="str">
        <x:v>uranus</x:v>
      </x:c>
      <x:c r="G77" s="54" t="str">
        <x:v>One unusual suggestion gives a stalled process a faster way forward.</x:v>
      </x:c>
      <x:c r="H77" s="54" t="str">
        <x:v>One unusual suggestion gives a stalled process a faster way forward. A staff member tests a shortcut, alternate platform, or revised form after noticing that the official route keeps creating the same error. Mercury identifies the specific breakdown, while Uranus challenges the process everyone had stopped questioning. The sextile opens a route around the blockage, but someone still has to try the unfamiliar option. The experiment earns support because it fixes the delay without discarding the information the system still needs.</x:v>
      </x:c>
      <x:c r="I77" s="54" t="str">
        <x:v>owner-refined Sky aspect v10.1 corpus; owner direction, chat 2026-08-01</x:v>
      </x:c>
      <x:c r="J77" s="56" t="str">
        <x:v>One unusual suggestion gives a stalled process a faster way forward.</x:v>
      </x:c>
      <x:c r="K77" s="56" t="str">
        <x:v>One unusual suggestion gives a stalled process a faster way forward. Mercury sextile Uranus can help a staff member test a shortcut, alternate platform, or revised form after noticing that the official route keeps creating the same error. The idea earns support because it fixes the delay without throwing out the information the system still needs. Try it on one task first. If the result holds, show the time saved and the problem removed before asking everyone else to change their workflow.</x:v>
      </x:c>
      <x:c r="L77" s="56" t="str">
        <x:v>Completed generic pair-aspect fallback. Use only when sign/date context is unavailable.</x:v>
      </x:c>
      <x:c r="M77" s="56" t="str">
        <x:v>REVIEW READY</x:v>
      </x:c>
      <x:c r="N77" s="54" t="str">
        <x:v>packages/astro-knowledge/data/transits/mercury-sextile-uranus.json</x:v>
      </x:c>
      <x:c r="O77" s="71" t="str">
        <x:v>446a70ab21a91d063d60d4e164c1a6d84e6e0c2effa5037f6f8d3758ff3d97b4</x:v>
      </x:c>
      <x:c r="P77" s="75" t="str">
        <x:v>INCLUDE</x:v>
      </x:c>
      <x:c r="Q77" s="79" t="str"/>
    </x:row>
    <x:row r="78" ht="92" customHeight="1">
      <x:c r="A78" s="54" t="n">
        <x:v>76</x:v>
      </x:c>
      <x:c r="B78" s="54" t="str">
        <x:v>sky.mercury.conjunction.venus</x:v>
      </x:c>
      <x:c r="C78" s="54" t="str">
        <x:v>Mercury conjunction Venus</x:v>
      </x:c>
      <x:c r="D78" s="54" t="str">
        <x:v>mercury</x:v>
      </x:c>
      <x:c r="E78" s="54" t="str">
        <x:v>conjunction</x:v>
      </x:c>
      <x:c r="F78" s="54" t="str">
        <x:v>venus</x:v>
      </x:c>
      <x:c r="G78" s="54" t="str">
        <x:v>A public announcement turns a private agreement into a social fact.</x:v>
      </x:c>
      <x:c r="H78" s="54" t="str">
        <x:v>A public announcement turns a private agreement into a social fact. A partnership, payment, invitation, creative deal, or change in status is named in language carefully chosen to shape how the news will be received. Mercury delivers the message, while Venus ties every word to value, approval, and the relationship being defined. Under the conjunction, the wording and the agreement become part of the same offer. The announcement may bring people together, but any ambiguity in the terms now carries a much larger audience.</x:v>
      </x:c>
      <x:c r="I78" s="54" t="str">
        <x:v>owner-refined Sky aspect v10.1 corpus; owner direction, chat 2026-08-01</x:v>
      </x:c>
      <x:c r="J78" s="56" t="str">
        <x:v>A public announcement turns a private agreement into a social fact.</x:v>
      </x:c>
      <x:c r="K78" s="56" t="str">
        <x:v>A public announcement turns a private agreement into a social fact. Mercury conjunct Venus can make the wording part of the agreement itself, especially when a partnership, payment, invitation, creative deal, or change in status is being named for other people. The language now shapes how the relationship will be understood. Be precise about the terms before the announcement travels farther than the conversation that created them. If the public version and the private agreement do not match, fix that before asking everyone else to celebrate.</x:v>
      </x:c>
      <x:c r="L78" s="56" t="str">
        <x:v>Completed generic pair-aspect fallback. Use only when sign/date context is unavailable.</x:v>
      </x:c>
      <x:c r="M78" s="56" t="str">
        <x:v>REVIEW READY</x:v>
      </x:c>
      <x:c r="N78" s="54" t="str">
        <x:v>packages/astro-knowledge/data/transits/mercury-conjunction-venus.json</x:v>
      </x:c>
      <x:c r="O78" s="71" t="str">
        <x:v>3bf9a96d5707244befc64ebdb23aa05471ba1e803c3703f3b8e2ea00e882a15a</x:v>
      </x:c>
      <x:c r="P78" s="75" t="str">
        <x:v>INCLUDE</x:v>
      </x:c>
      <x:c r="Q78" s="79" t="str"/>
    </x:row>
    <x:row r="79" ht="92" customHeight="1">
      <x:c r="A79" s="54" t="n">
        <x:v>77</x:v>
      </x:c>
      <x:c r="B79" s="54" t="str">
        <x:v>sky.mercury.sextile.venus</x:v>
      </x:c>
      <x:c r="C79" s="54" t="str">
        <x:v>Mercury sextile Venus</x:v>
      </x:c>
      <x:c r="D79" s="54" t="str">
        <x:v>mercury</x:v>
      </x:c>
      <x:c r="E79" s="54" t="str">
        <x:v>sextile</x:v>
      </x:c>
      <x:c r="F79" s="54" t="str">
        <x:v>venus</x:v>
      </x:c>
      <x:c r="G79" s="54" t="str">
        <x:v>One carefully worded message gives an agreement a chance to survive a difficult correction.</x:v>
      </x:c>
      <x:c r="H79" s="54" t="str">
        <x:v>One carefully worded message gives an agreement a chance to survive a difficult correction. A coordinator clarifies the price, changes the date, or names the missing credit before disappointment turns into a public complaint. Mercury puts the issue into direct language, while Venus refuses to let the relationship or value of the exchange disappear beneath polite wording. The sextile opens a diplomatic route forward, but someone still has to send the honest version. The agreement holds because the correction arrives before politeness becomes another way to avoid the problem.</x:v>
      </x:c>
      <x:c r="I79" s="54" t="str">
        <x:v>owner-refined Sky aspect v10.1 corpus; owner direction, chat 2026-08-01</x:v>
      </x:c>
      <x:c r="J79" s="56" t="str">
        <x:v>One carefully worded message gives an agreement a chance to survive a difficult correction.</x:v>
      </x:c>
      <x:c r="K79" s="56" t="str">
        <x:v>One carefully worded message gives an agreement a chance to survive a difficult correction. Mercury sextile Venus can help someone clarify the price, change the date, or name missing credit without turning the whole exchange into a public complaint. The relationship matters, but politeness cannot carry a correction nobody is willing to make. Send the honest version. State what changed, what needs to be fixed, and what would make the agreement workable again.</x:v>
      </x:c>
      <x:c r="L79" s="56" t="str">
        <x:v>Completed generic pair-aspect fallback. Use only when sign/date context is unavailable.</x:v>
      </x:c>
      <x:c r="M79" s="56" t="str">
        <x:v>REVIEW READY</x:v>
      </x:c>
      <x:c r="N79" s="54" t="str">
        <x:v>packages/astro-knowledge/data/transits/mercury-sextile-venus.json</x:v>
      </x:c>
      <x:c r="O79" s="71" t="str">
        <x:v>a740f5e0658b2f67eeb1cd8d0c73e12673fcf0653b04b690b9c8b6bbc8328986</x:v>
      </x:c>
      <x:c r="P79" s="75" t="str">
        <x:v>INCLUDE</x:v>
      </x:c>
      <x:c r="Q79" s="79" t="str"/>
    </x:row>
    <x:row r="80" ht="92" customHeight="1">
      <x:c r="A80" s="54" t="n">
        <x:v>78</x:v>
      </x:c>
      <x:c r="B80" s="54" t="str">
        <x:v>sky.moon.conjunction.jupiter</x:v>
      </x:c>
      <x:c r="C80" s="54" t="str">
        <x:v>Moon conjunction Jupiter</x:v>
      </x:c>
      <x:c r="D80" s="54" t="str">
        <x:v>moon</x:v>
      </x:c>
      <x:c r="E80" s="54" t="str">
        <x:v>conjunction</x:v>
      </x:c>
      <x:c r="F80" s="54" t="str">
        <x:v>jupiter</x:v>
      </x:c>
      <x:c r="G80" s="54" t="str">
        <x:v>A private need becomes a much larger public response overnight.</x:v>
      </x:c>
      <x:c r="H80" s="54" t="str">
        <x:v>A private need becomes a much larger public response overnight. One story brings donations, visitors, media attention, or family involvement faster than the person at the center can decide what kind of help they want. The Moon pulls the private need into public view, while Jupiter magnifies its reach and the scale of everyone's reaction. Under the conjunction, care and expansion arrive together with no quiet stage in between. The attention may provide real relief while also turning a personal experience into a responsibility the recipient now has to manage.</x:v>
      </x:c>
      <x:c r="I80" s="54" t="str">
        <x:v>owner-refined Sky aspect v10.1 corpus; owner direction, chat 2026-08-01</x:v>
      </x:c>
      <x:c r="J80" s="56" t="str">
        <x:v>A private need becomes a much larger public response overnight.</x:v>
      </x:c>
      <x:c r="K80" s="56" t="str">
        <x:v>A private need becomes a much larger public response overnight. Moon conjunct Jupiter can make donations, visitors, media attention, or family involvement arrive faster than the person at the center can decide what kind of help they actually want. More care is still more to manage when privacy disappears with it. Ask what support is useful before adding another offer, visitor, or public update. The person receiving the help should not become the coordinator of everyone else's generosity.</x:v>
      </x:c>
      <x:c r="L80" s="56" t="str">
        <x:v>Completed generic pair-aspect fallback. Use only when sign/date context is unavailable.</x:v>
      </x:c>
      <x:c r="M80" s="56" t="str">
        <x:v>REVIEW READY</x:v>
      </x:c>
      <x:c r="N80" s="54" t="str">
        <x:v>packages/astro-knowledge/data/transits/moon-conjunction-jupiter.json</x:v>
      </x:c>
      <x:c r="O80" s="71" t="str">
        <x:v>46aba94872a0df6f9772b18034b1e81ea99f8b1fd908e95ba992b6438e72e450</x:v>
      </x:c>
      <x:c r="P80" s="75" t="str">
        <x:v>INCLUDE</x:v>
      </x:c>
      <x:c r="Q80" s="79" t="str"/>
    </x:row>
    <x:row r="81" ht="92" customHeight="1">
      <x:c r="A81" s="54" t="n">
        <x:v>79</x:v>
      </x:c>
      <x:c r="B81" s="54" t="str">
        <x:v>sky.moon.opposition.jupiter</x:v>
      </x:c>
      <x:c r="C81" s="54" t="str">
        <x:v>Moon opposition Jupiter</x:v>
      </x:c>
      <x:c r="D81" s="54" t="str">
        <x:v>moon</x:v>
      </x:c>
      <x:c r="E81" s="54" t="str">
        <x:v>opposition</x:v>
      </x:c>
      <x:c r="F81" s="54" t="str">
        <x:v>jupiter</x:v>
      </x:c>
      <x:c r="G81" s="54" t="str">
        <x:v>The public appeal says there is enough support to go around, while the people distributing it describe shortages and impossible choices.</x:v>
      </x:c>
      <x:c r="H81" s="54" t="str">
        <x:v>The public appeal says there is enough support to go around, while the people distributing it describe shortages and impossible choices. Donors point to the money raised; caregivers and local workers point to rent, food, beds, and time that the headline total does not automatically provide. The Moon keeps daily shortages from disappearing beneath the headline total, while Jupiter defends the larger promise that more help can solve them. The opposition places abundance across from the limits of how care is actually delivered. The campaign may remain successful on paper while the people closest to the crisis decide whose need can be met first.</x:v>
      </x:c>
      <x:c r="I81" s="54" t="str">
        <x:v>owner-refined Sky aspect v10.1 corpus; owner direction, chat 2026-08-01</x:v>
      </x:c>
      <x:c r="J81" s="56" t="str">
        <x:v>The public appeal says there is enough support to go around while the people distributing it describe shortages and impossible choices.</x:v>
      </x:c>
      <x:c r="K81" s="56" t="str">
        <x:v>The public appeal says there is enough support to go around while the people distributing it describe shortages and impossible choices. Moon opposite Jupiter puts the headline total directly against rent, food, beds, time, and the daily limits of care. Money raised is not the same as help delivered. Follow the resources all the way to the people using them. If local workers are still deciding whose need can be met first, the campaign is not finished just because the fundraising goal was reached.</x:v>
      </x:c>
      <x:c r="L81" s="56" t="str">
        <x:v>Completed generic pair-aspect fallback. Use only when sign/date context is unavailable.</x:v>
      </x:c>
      <x:c r="M81" s="56" t="str">
        <x:v>REVIEW READY</x:v>
      </x:c>
      <x:c r="N81" s="54" t="str">
        <x:v>packages/astro-knowledge/data/transits/moon-opposition-jupiter.json</x:v>
      </x:c>
      <x:c r="O81" s="71" t="str">
        <x:v>63ff4a458d6a421a578f325e96bed52dbcf2688bfb7717d22eda1a9f9c6581b0</x:v>
      </x:c>
      <x:c r="P81" s="75" t="str">
        <x:v>INCLUDE</x:v>
      </x:c>
      <x:c r="Q81" s="79" t="str"/>
    </x:row>
    <x:row r="82" ht="92" customHeight="1">
      <x:c r="A82" s="54" t="n">
        <x:v>80</x:v>
      </x:c>
      <x:c r="B82" s="54" t="str">
        <x:v>sky.moon.square.jupiter</x:v>
      </x:c>
      <x:c r="C82" s="54" t="str">
        <x:v>Moon square Jupiter</x:v>
      </x:c>
      <x:c r="D82" s="54" t="str">
        <x:v>moon</x:v>
      </x:c>
      <x:c r="E82" s="54" t="str">
        <x:v>square</x:v>
      </x:c>
      <x:c r="F82" s="54" t="str">
        <x:v>jupiter</x:v>
      </x:c>
      <x:c r="G82" s="54" t="str">
        <x:v>A generous promise creates more emotional and practical responsibility than anyone planned to carry.</x:v>
      </x:c>
      <x:c r="H82" s="54" t="str">
        <x:v>A generous promise creates more emotional and practical responsibility than anyone planned to carry. The guest list expands, the family commitment grows, or a relief effort keeps adding requests while the same people continue providing the meals, rides, beds, and reassurance. The Moon measures what care costs in daily life, while Jupiter keeps saying yes to the larger need and the bigger response. The square pushes generosity past the point where goodwill can cover the labor. The support may reach more people, but the caregivers become the hidden budget the expansion never counted.</x:v>
      </x:c>
      <x:c r="I82" s="54" t="str">
        <x:v>owner-refined Sky aspect v10.1 corpus; owner direction, chat 2026-08-01</x:v>
      </x:c>
      <x:c r="J82" s="56" t="str">
        <x:v>A generous promise creates more emotional and practical responsibility than anyone planned to carry.</x:v>
      </x:c>
      <x:c r="K82" s="56" t="str">
        <x:v>A generous promise creates more emotional and practical responsibility than anyone planned to carry. Moon square Jupiter can make the guest list, family commitment, or relief effort keep expanding while the same people continue providing meals, rides, beds, and reassurance. Goodwill can become an invisible staffing plan. Count the hours and work required before saying yes to the next person. Support is more generous when the caregivers are not treated as the part of the budget that never runs out.</x:v>
      </x:c>
      <x:c r="L82" s="56" t="str">
        <x:v>Completed generic pair-aspect fallback. Use only when sign/date context is unavailable.</x:v>
      </x:c>
      <x:c r="M82" s="56" t="str">
        <x:v>REVIEW READY</x:v>
      </x:c>
      <x:c r="N82" s="54" t="str">
        <x:v>packages/astro-knowledge/data/transits/moon-square-jupiter.json</x:v>
      </x:c>
      <x:c r="O82" s="71" t="str">
        <x:v>d74251144705e4e1a78a05da472d679a4bb02fc4d382d689e35bfcd46f0c4ba2</x:v>
      </x:c>
      <x:c r="P82" s="75" t="str">
        <x:v>INCLUDE</x:v>
      </x:c>
      <x:c r="Q82" s="79" t="str"/>
    </x:row>
    <x:row r="83" ht="92" customHeight="1">
      <x:c r="A83" s="54" t="n">
        <x:v>81</x:v>
      </x:c>
      <x:c r="B83" s="54" t="str">
        <x:v>sky.moon.trine.jupiter</x:v>
      </x:c>
      <x:c r="C83" s="54" t="str">
        <x:v>Moon trine Jupiter</x:v>
      </x:c>
      <x:c r="D83" s="54" t="str">
        <x:v>moon</x:v>
      </x:c>
      <x:c r="E83" s="54" t="str">
        <x:v>trine</x:v>
      </x:c>
      <x:c r="F83" s="54" t="str">
        <x:v>jupiter</x:v>
      </x:c>
      <x:c r="G83" s="54" t="str">
        <x:v>A private need receives a much larger response than expected.</x:v>
      </x:c>
      <x:c r="H83" s="54" t="str">
        <x:v>A private need receives a much larger response than expected. Meals, money, childcare, space, or forgiveness arrive without making the person receiving help explain every detail. The Moon keeps the response close to what would bring relief right now, while Jupiter widens the reach and generosity behind it. Under the trine, care multiplies quickly enough to make a private crisis feel collectively held. The relief may last beyond the immediate moment, but the larger response still needs people willing to keep showing up after the urgency passes.</x:v>
      </x:c>
      <x:c r="I83" s="54" t="str">
        <x:v>owner-refined Sky aspect v10.1 corpus; owner direction, chat 2026-08-01</x:v>
      </x:c>
      <x:c r="J83" s="56" t="str">
        <x:v>A private need receives a much larger response than expected.</x:v>
      </x:c>
      <x:c r="K83" s="56" t="str">
        <x:v>A private need receives a much larger response than expected. Moon trine Jupiter can bring meals, money, childcare, space, or forgiveness without making the person receiving help explain every detail first. The relief can feel almost immediate because people are willing to give more than the minimum. Let the help be easy to receive. Then make sure somebody is still showing up after the first wave of urgency passes, because the need may last longer than the attention around it.</x:v>
      </x:c>
      <x:c r="L83" s="56" t="str">
        <x:v>Completed generic pair-aspect fallback. Use only when sign/date context is unavailable.</x:v>
      </x:c>
      <x:c r="M83" s="56" t="str">
        <x:v>REVIEW READY</x:v>
      </x:c>
      <x:c r="N83" s="54" t="str">
        <x:v>packages/astro-knowledge/data/transits/moon-trine-jupiter.json</x:v>
      </x:c>
      <x:c r="O83" s="71" t="str">
        <x:v>2d283c708cfb7b8ac38470066e2c5b182f4b9be6d510c30ea8922361fc05f5d7</x:v>
      </x:c>
      <x:c r="P83" s="75" t="str">
        <x:v>INCLUDE</x:v>
      </x:c>
      <x:c r="Q83" s="79" t="str"/>
    </x:row>
    <x:row r="84" ht="92" customHeight="1">
      <x:c r="A84" s="54" t="n">
        <x:v>82</x:v>
      </x:c>
      <x:c r="B84" s="54" t="str">
        <x:v>sky.moon.sextile.jupiter</x:v>
      </x:c>
      <x:c r="C84" s="54" t="str">
        <x:v>Moon sextile Jupiter</x:v>
      </x:c>
      <x:c r="D84" s="54" t="str">
        <x:v>moon</x:v>
      </x:c>
      <x:c r="E84" s="54" t="str">
        <x:v>sextile</x:v>
      </x:c>
      <x:c r="F84" s="54" t="str">
        <x:v>jupiter</x:v>
      </x:c>
      <x:c r="G84" s="54" t="str">
        <x:v>A private need reaches a wider circle and receives more help than one household could provide.</x:v>
      </x:c>
      <x:c r="H84" s="54" t="str">
        <x:v>A private need reaches a wider circle and receives more help than one household could provide. Someone shares the request, opens a fund, or brings in a community group before the original caregiver runs out of money or time. The Moon keeps the support tied to food, shelter, safety, and recovery, while Jupiter expands the number of people willing to contribute. The sextile opens access to more help, but one person still has to connect the need to the larger network. The relief lasts longer because the burden stops sitting with the same exhausted few.</x:v>
      </x:c>
      <x:c r="I84" s="54" t="str">
        <x:v>owner-refined Sky aspect v10.1 corpus; owner direction, chat 2026-08-01</x:v>
      </x:c>
      <x:c r="J84" s="56" t="str">
        <x:v>A private need reaches a wider circle and receives more help than one household could provide.</x:v>
      </x:c>
      <x:c r="K84" s="56" t="str">
        <x:v>A private need reaches a wider circle and receives more help than one household could provide. Moon sextile Jupiter can open a fund, bring in a community group, or connect the request to people with more time or resources before the original caregiver runs out of both. The important shift is that the burden stops sitting with the same exhausted few. Share the request clearly and name what would actually help. A wider network is useful when each person knows where their contribution belongs.</x:v>
      </x:c>
      <x:c r="L84" s="56" t="str">
        <x:v>Completed generic pair-aspect fallback. Use only when sign/date context is unavailable.</x:v>
      </x:c>
      <x:c r="M84" s="56" t="str">
        <x:v>REVIEW READY</x:v>
      </x:c>
      <x:c r="N84" s="54" t="str">
        <x:v>packages/astro-knowledge/data/transits/moon-sextile-jupiter.json</x:v>
      </x:c>
      <x:c r="O84" s="71" t="str">
        <x:v>59f5a66bf10e55b6960ce1a6b9564149fcea4e064b24e81d13f85074c99b1889</x:v>
      </x:c>
      <x:c r="P84" s="75" t="str">
        <x:v>INCLUDE</x:v>
      </x:c>
      <x:c r="Q84" s="79" t="str"/>
    </x:row>
    <x:row r="85" ht="92" customHeight="1">
      <x:c r="A85" s="54" t="n">
        <x:v>83</x:v>
      </x:c>
      <x:c r="B85" s="54" t="str">
        <x:v>sky.moon.conjunction.mars</x:v>
      </x:c>
      <x:c r="C85" s="54" t="str">
        <x:v>Moon conjunction Mars</x:v>
      </x:c>
      <x:c r="D85" s="54" t="str">
        <x:v>moon</x:v>
      </x:c>
      <x:c r="E85" s="54" t="str">
        <x:v>conjunction</x:v>
      </x:c>
      <x:c r="F85" s="54" t="str">
        <x:v>mars</x:v>
      </x:c>
      <x:c r="G85" s="54" t="str">
        <x:v>A strong feeling becomes an action before anyone has time to translate it.</x:v>
      </x:c>
      <x:c r="H85" s="54" t="str">
        <x:v>A strong feeling becomes an action before anyone has time to translate it. Anger triggers a departure, fear prompts an urgent call, or protectiveness moves someone to intervene in a conflict that was still being contained. The Moon makes the reaction personal and immediate, while Mars gives that reaction force, speed, and consequence. Under the conjunction, the feeling and the move happen as one event. The intervention may protect someone, but it also makes the original emotion impossible to take back once everyone has seen what it can do.</x:v>
      </x:c>
      <x:c r="I85" s="54" t="str">
        <x:v>owner-refined Sky aspect v10.1 corpus; owner direction, chat 2026-08-01</x:v>
      </x:c>
      <x:c r="J85" s="56" t="str">
        <x:v>A strong feeling becomes an action before anyone has time to translate it.</x:v>
      </x:c>
      <x:c r="K85" s="56" t="str">
        <x:v>A strong feeling becomes an action before anyone has time to translate it. Moon conjunct Mars can turn anger into a departure, fear into an urgent call, or protectiveness into an intervention while the conflict is still unfolding. The response may be necessary, but it also makes the emotion public and harder to take back. Act on the part that protects someone or solves the immediate problem. Do not let the first surge of feeling decide every consequence that comes after it.</x:v>
      </x:c>
      <x:c r="L85" s="56" t="str">
        <x:v>Completed generic pair-aspect fallback. Use only when sign/date context is unavailable.</x:v>
      </x:c>
      <x:c r="M85" s="56" t="str">
        <x:v>REVIEW READY</x:v>
      </x:c>
      <x:c r="N85" s="54" t="str">
        <x:v>packages/astro-knowledge/data/transits/moon-conjunction-mars.json</x:v>
      </x:c>
      <x:c r="O85" s="71" t="str">
        <x:v>b0da4e110281a14467ee6dceb5388d61c646ba442d7e8219f400886c0f721f63</x:v>
      </x:c>
      <x:c r="P85" s="75" t="str">
        <x:v>INCLUDE</x:v>
      </x:c>
      <x:c r="Q85" s="79" t="str"/>
    </x:row>
    <x:row r="86" ht="92" customHeight="1">
      <x:c r="A86" s="54" t="n">
        <x:v>84</x:v>
      </x:c>
      <x:c r="B86" s="54" t="str">
        <x:v>sky.moon.opposition.mars</x:v>
      </x:c>
      <x:c r="C86" s="54" t="str">
        <x:v>Moon opposition Mars</x:v>
      </x:c>
      <x:c r="D86" s="54" t="str">
        <x:v>moon</x:v>
      </x:c>
      <x:c r="E86" s="54" t="str">
        <x:v>opposition</x:v>
      </x:c>
      <x:c r="F86" s="54" t="str">
        <x:v>mars</x:v>
      </x:c>
      <x:c r="G86" s="54" t="str">
        <x:v>The people trying to protect a routine face the person insisting that disruption is necessary now.</x:v>
      </x:c>
      <x:c r="H86" s="54" t="str">
        <x:v>The people trying to protect a routine face the person insisting that disruption is necessary now. One side points to children, health, housing, or the need for calm; the other points to urgency, danger, or a job that cannot be delayed. The Moon holds the need for safety and continuity, while Mars gives force to the demand for immediate action. The opposition places protection and confrontation across from each other with no neutral place to stand. A decision may be necessary, but everyone sees who was asked to surrender their sense of safety to make it happen.</x:v>
      </x:c>
      <x:c r="I86" s="54" t="str">
        <x:v>owner-refined Sky aspect v10.1 corpus; owner direction, chat 2026-08-01</x:v>
      </x:c>
      <x:c r="J86" s="56" t="str">
        <x:v>The people trying to protect a routine face the person insisting that disruption is necessary now.</x:v>
      </x:c>
      <x:c r="K86" s="56" t="str">
        <x:v>The people trying to protect a routine face the person insisting that disruption is necessary now. Moon opposite Mars can make one side defend children, health, housing, or the need for calm while the other points to danger, urgency, or work that cannot wait. The decision may still need to happen quickly. That does not make the cost of disruption imaginary. Name who needs protection during the change and build that into the plan before asking them to absorb the consequences for everyone else.</x:v>
      </x:c>
      <x:c r="L86" s="56" t="str">
        <x:v>Completed generic pair-aspect fallback. Use only when sign/date context is unavailable.</x:v>
      </x:c>
      <x:c r="M86" s="56" t="str">
        <x:v>REVIEW READY</x:v>
      </x:c>
      <x:c r="N86" s="54" t="str">
        <x:v>packages/astro-knowledge/data/transits/moon-opposition-mars.json</x:v>
      </x:c>
      <x:c r="O86" s="71" t="str">
        <x:v>85df5b18ddcc0721624aef07c90b5102206507c46e32b1ff8730f4769cf06001</x:v>
      </x:c>
      <x:c r="P86" s="75" t="str">
        <x:v>INCLUDE</x:v>
      </x:c>
      <x:c r="Q86" s="79" t="str"/>
    </x:row>
    <x:row r="87" ht="92" customHeight="1">
      <x:c r="A87" s="54" t="n">
        <x:v>85</x:v>
      </x:c>
      <x:c r="B87" s="54" t="str">
        <x:v>sky.moon.square.mars</x:v>
      </x:c>
      <x:c r="C87" s="54" t="str">
        <x:v>Moon square Mars</x:v>
      </x:c>
      <x:c r="D87" s="54" t="str">
        <x:v>moon</x:v>
      </x:c>
      <x:c r="E87" s="54" t="str">
        <x:v>square</x:v>
      </x:c>
      <x:c r="F87" s="54" t="str">
        <x:v>mars</x:v>
      </x:c>
      <x:c r="G87" s="54" t="str">
        <x:v>A last-minute demand turns an already strained household or team into a fight.</x:v>
      </x:c>
      <x:c r="H87" s="54" t="str">
        <x:v>A last-minute demand turns an already strained household or team into a fight. Someone pushes for an immediate answer, while the person carrying care, exhaustion, or private stress reacts to being treated as though they have unlimited capacity. The Moon makes the need for rest and protection impossible to ignore, while Mars presses for action as though no other limit exists. The square forces the practical demand and the emotional limit into direct conflict. The task may get done, but the anger makes clear how long one person's needs have been expected to wait.</x:v>
      </x:c>
      <x:c r="I87" s="54" t="str">
        <x:v>owner-refined Sky aspect v10.1 corpus; owner direction, chat 2026-08-01</x:v>
      </x:c>
      <x:c r="J87" s="56" t="str">
        <x:v>A last-minute demand turns an already strained household or team into a fight.</x:v>
      </x:c>
      <x:c r="K87" s="56" t="str">
        <x:v>A last-minute demand turns an already strained household or team into a fight. Moon square Mars can make an urgent request collide with exhaustion, care responsibilities, or private stress that was already close to the limit. Someone may still get the task done and carry the anger home afterward. Treat that anger as information about the workload, not just the tone of the response. Give the job a realistic timeline and stop treating one person's availability as proof that their plans can wait.</x:v>
      </x:c>
      <x:c r="L87" s="56" t="str">
        <x:v>Completed generic pair-aspect fallback. Use only when sign/date context is unavailable.</x:v>
      </x:c>
      <x:c r="M87" s="56" t="str">
        <x:v>REVIEW READY</x:v>
      </x:c>
      <x:c r="N87" s="54" t="str">
        <x:v>packages/astro-knowledge/data/transits/moon-square-mars.json</x:v>
      </x:c>
      <x:c r="O87" s="71" t="str">
        <x:v>175cc924139a324a18188818b97feec66745922352b817940ba91f583fe56442</x:v>
      </x:c>
      <x:c r="P87" s="75" t="str">
        <x:v>INCLUDE</x:v>
      </x:c>
      <x:c r="Q87" s="79" t="str"/>
    </x:row>
    <x:row r="88" ht="92" customHeight="1">
      <x:c r="A88" s="54" t="n">
        <x:v>86</x:v>
      </x:c>
      <x:c r="B88" s="54" t="str">
        <x:v>sky.moon.trine.mars</x:v>
      </x:c>
      <x:c r="C88" s="54" t="str">
        <x:v>Moon trine Mars</x:v>
      </x:c>
      <x:c r="D88" s="54" t="str">
        <x:v>moon</x:v>
      </x:c>
      <x:c r="E88" s="54" t="str">
        <x:v>trine</x:v>
      </x:c>
      <x:c r="F88" s="54" t="str">
        <x:v>mars</x:v>
      </x:c>
      <x:c r="G88" s="54" t="str">
        <x:v>The response team reaches the problem with the right supplies and enough authority to use them.</x:v>
      </x:c>
      <x:c r="H88" s="54" t="str">
        <x:v>The response team reaches the problem with the right supplies and enough authority to use them. Caregivers, neighbors, staff, or family members divide the work quickly and respond to what people actually need rather than following a plan that no longer fits. The Moon refuses to let the human situation disappear behind procedure, while Mars gets bodies, tools, and decisions where they are needed. Under the trine, instinct and action support each other without wasting time on a power struggle. The immediate crisis settles because the people helping can adjust without abandoning the purpose of the response.</x:v>
      </x:c>
      <x:c r="I88" s="54" t="str">
        <x:v>owner-refined Sky aspect v10.1 corpus; owner direction, chat 2026-08-01</x:v>
      </x:c>
      <x:c r="J88" s="56" t="str">
        <x:v>The response team reaches the problem with the right supplies and enough authority to use them.</x:v>
      </x:c>
      <x:c r="K88" s="56" t="str">
        <x:v>The response team reaches the problem with the right supplies and enough authority to use them. Moon trine Mars can help caregivers, neighbors, staff, or family members act on what people actually need instead of following a plan that no longer fits the situation. Instinct and action support each other here. Keep the team close to the people affected. The fastest response is useful when it can adjust without losing the purpose of the work.</x:v>
      </x:c>
      <x:c r="L88" s="56" t="str">
        <x:v>Completed generic pair-aspect fallback. Use only when sign/date context is unavailable.</x:v>
      </x:c>
      <x:c r="M88" s="56" t="str">
        <x:v>REVIEW READY</x:v>
      </x:c>
      <x:c r="N88" s="54" t="str">
        <x:v>packages/astro-knowledge/data/transits/moon-trine-mars.json</x:v>
      </x:c>
      <x:c r="O88" s="71" t="str">
        <x:v>6904ed5ca48ff3c829f6c24490e91fb5fa8cfdc00e463a294340452e589fcac1</x:v>
      </x:c>
      <x:c r="P88" s="75" t="str">
        <x:v>INCLUDE</x:v>
      </x:c>
      <x:c r="Q88" s="79" t="str"/>
    </x:row>
    <x:row r="89" ht="92" customHeight="1">
      <x:c r="A89" s="54" t="n">
        <x:v>87</x:v>
      </x:c>
      <x:c r="B89" s="54" t="str">
        <x:v>sky.moon.sextile.mars</x:v>
      </x:c>
      <x:c r="C89" s="54" t="str">
        <x:v>Moon sextile Mars</x:v>
      </x:c>
      <x:c r="D89" s="54" t="str">
        <x:v>moon</x:v>
      </x:c>
      <x:c r="E89" s="54" t="str">
        <x:v>sextile</x:v>
      </x:c>
      <x:c r="F89" s="54" t="str">
        <x:v>mars</x:v>
      </x:c>
      <x:c r="G89" s="54" t="str">
        <x:v>Someone notices the immediate need and acts before the situation becomes an emergency.</x:v>
      </x:c>
      <x:c r="H89" s="54" t="str">
        <x:v>Someone notices the immediate need and acts before the situation becomes an emergency. A ride is arranged, a meal is delivered, a broken lock is repaired, or a shift is covered because one person is willing to move first. The Moon pinpoints what would make the day safer, while Mars supplies the effort and urgency to handle it. The sextile creates a usable opening for help, but the result depends on a person taking initiative. Relief arrives because concern becomes an action instead of another conversation about what should happen.</x:v>
      </x:c>
      <x:c r="I89" s="54" t="str">
        <x:v>owner-refined Sky aspect v10.1 corpus; owner direction, chat 2026-08-01</x:v>
      </x:c>
      <x:c r="J89" s="56" t="str">
        <x:v>Someone notices the immediate need and acts before the situation becomes an emergency.</x:v>
      </x:c>
      <x:c r="K89" s="56" t="str">
        <x:v>Someone notices the immediate need and acts before the situation becomes an emergency. Moon sextile Mars can turn concern into a ride, meal, repaired lock, covered shift, or other small action that changes the day right away. It does not need a committee to matter. Handle the part that can actually be handled now. If the need is larger than one person can carry, use the first action to buy enough time to bring in more help.</x:v>
      </x:c>
      <x:c r="L89" s="56" t="str">
        <x:v>Completed generic pair-aspect fallback. Use only when sign/date context is unavailable.</x:v>
      </x:c>
      <x:c r="M89" s="56" t="str">
        <x:v>REVIEW READY</x:v>
      </x:c>
      <x:c r="N89" s="54" t="str">
        <x:v>packages/astro-knowledge/data/transits/moon-sextile-mars.json</x:v>
      </x:c>
      <x:c r="O89" s="71" t="str">
        <x:v>b93cde2fdc6e376d9d0c31248aaa4a35c86c49d6ec81e9ba6cffe9b2b376c917</x:v>
      </x:c>
      <x:c r="P89" s="75" t="str">
        <x:v>INCLUDE</x:v>
      </x:c>
      <x:c r="Q89" s="79" t="str"/>
    </x:row>
    <x:row r="90" ht="92" customHeight="1">
      <x:c r="A90" s="54" t="n">
        <x:v>88</x:v>
      </x:c>
      <x:c r="B90" s="54" t="str">
        <x:v>sky.moon.conjunction.mercury</x:v>
      </x:c>
      <x:c r="C90" s="54" t="str">
        <x:v>Moon conjunction Mercury</x:v>
      </x:c>
      <x:c r="D90" s="54" t="str">
        <x:v>moon</x:v>
      </x:c>
      <x:c r="E90" s="54" t="str">
        <x:v>conjunction</x:v>
      </x:c>
      <x:c r="F90" s="54" t="str">
        <x:v>mercury</x:v>
      </x:c>
      <x:c r="G90" s="54" t="str">
        <x:v>A private admission changes the tone and direction of the entire conversation.</x:v>
      </x:c>
      <x:c r="H90" s="54" t="str">
        <x:v>A private admission changes the tone and direction of the entire conversation. News about a family problem, health concern, housing loss, or old hurt is spoken at the same moment a decision has to be made. The Moon makes the emotional need impossible to work around, while Mercury puts it into words the room has to answer. Under the conjunction, the feeling and the message become one piece of information the room has to answer. The disclosure may bring relief, but it also makes returning to the earlier, easier conversation impossible.</x:v>
      </x:c>
      <x:c r="I90" s="54" t="str">
        <x:v>owner-refined Sky aspect v10.1 corpus; owner direction, chat 2026-08-01</x:v>
      </x:c>
      <x:c r="J90" s="56" t="str">
        <x:v>A private admission changes the tone and direction of the entire conversation.</x:v>
      </x:c>
      <x:c r="K90" s="56" t="str">
        <x:v>A private admission changes the tone and direction of the entire conversation. Moon conjunct Mercury can make news about a family problem, health concern, housing loss, or old hurt become part of the decision at the same moment it is finally spoken. The room cannot go back to the easier version of the conversation after that. Listen for what changed in the facts as well as the mood. Respond to the information that was disclosed instead of treating the emotion around it as a distraction.</x:v>
      </x:c>
      <x:c r="L90" s="56" t="str">
        <x:v>Completed generic pair-aspect fallback. Use only when sign/date context is unavailable.</x:v>
      </x:c>
      <x:c r="M90" s="56" t="str">
        <x:v>REVIEW READY</x:v>
      </x:c>
      <x:c r="N90" s="54" t="str">
        <x:v>packages/astro-knowledge/data/transits/moon-conjunction-mercury.json</x:v>
      </x:c>
      <x:c r="O90" s="71" t="str">
        <x:v>40390b356d3fd8029efe2c09c2baf1afed627d472e01c9a9cef4c3d6e5096c2b</x:v>
      </x:c>
      <x:c r="P90" s="75" t="str">
        <x:v>INCLUDE</x:v>
      </x:c>
      <x:c r="Q90" s="79" t="str"/>
    </x:row>
    <x:row r="91" ht="92" customHeight="1">
      <x:c r="A91" s="54" t="n">
        <x:v>89</x:v>
      </x:c>
      <x:c r="B91" s="54" t="str">
        <x:v>sky.moon.opposition.mercury</x:v>
      </x:c>
      <x:c r="C91" s="54" t="str">
        <x:v>Moon opposition Mercury</x:v>
      </x:c>
      <x:c r="D91" s="54" t="str">
        <x:v>moon</x:v>
      </x:c>
      <x:c r="E91" s="54" t="str">
        <x:v>opposition</x:v>
      </x:c>
      <x:c r="F91" s="54" t="str">
        <x:v>mercury</x:v>
      </x:c>
      <x:c r="G91" s="54" t="str">
        <x:v>The written account describes a routine decision, while the person affected describes the moment their life became harder.</x:v>
      </x:c>
      <x:c r="H91" s="54" t="str">
        <x:v>The written account describes a routine decision, while the person affected describes the moment their life became harder. One side points to dates, policy, and the language on file; the other points to missed care, panic, or a conversation nobody documented. The Moon puts the lived experience on the record, while Mercury defends the version that can be quoted. The opposition forces the official file to face the experience it failed to capture. A correction may settle the file, but the relationship changes if the human story is treated as evidence that matters less.</x:v>
      </x:c>
      <x:c r="I91" s="54" t="str">
        <x:v>owner-refined Sky aspect v10.1 corpus; owner direction, chat 2026-08-01</x:v>
      </x:c>
      <x:c r="J91" s="56" t="str">
        <x:v>The written account describes a routine decision while the person affected describes the moment their life became harder.</x:v>
      </x:c>
      <x:c r="K91" s="56" t="str">
        <x:v>The written account describes a routine decision while the person affected describes the moment their life became harder. Moon opposite Mercury can put dates, policy, and the language on file directly across from missed care, panic, or a conversation nobody documented. The record matters, but so does what the record failed to capture. Correct the file if something material is missing. An official version loses credibility when it requires the human consequence to count as less evidence than the paperwork.</x:v>
      </x:c>
      <x:c r="L91" s="56" t="str">
        <x:v>Completed generic pair-aspect fallback. Use only when sign/date context is unavailable.</x:v>
      </x:c>
      <x:c r="M91" s="56" t="str">
        <x:v>REVIEW READY</x:v>
      </x:c>
      <x:c r="N91" s="54" t="str">
        <x:v>packages/astro-knowledge/data/transits/moon-opposition-mercury.json</x:v>
      </x:c>
      <x:c r="O91" s="71" t="str">
        <x:v>c32c41622971b3f240f9341f538214960313916816f9f40093839ea509fbe4ce</x:v>
      </x:c>
      <x:c r="P91" s="75" t="str">
        <x:v>INCLUDE</x:v>
      </x:c>
      <x:c r="Q91" s="79" t="str"/>
    </x:row>
    <x:row r="92" ht="92" customHeight="1">
      <x:c r="A92" s="54" t="n">
        <x:v>90</x:v>
      </x:c>
      <x:c r="B92" s="54" t="str">
        <x:v>sky.moon.square.mercury</x:v>
      </x:c>
      <x:c r="C92" s="54" t="str">
        <x:v>Moon square Mercury</x:v>
      </x:c>
      <x:c r="D92" s="54" t="str">
        <x:v>moon</x:v>
      </x:c>
      <x:c r="E92" s="54" t="str">
        <x:v>square</x:v>
      </x:c>
      <x:c r="F92" s="54" t="str">
        <x:v>mercury</x:v>
      </x:c>
      <x:c r="G92" s="54" t="str">
        <x:v>A technically correct message lands as dismissive because its tone ignores what the room is already carrying.</x:v>
      </x:c>
      <x:c r="H92" s="54" t="str">
        <x:v>A technically correct message lands as dismissive because its tone ignores what the room is already carrying. An automated reply, short email, or carefully worded statement answers the question while overlooking grief, fear, anger, or exhaustion. The Moon registers the emotional reality, while Mercury defends the wording, facts, and efficiency of the response. The square keeps the message colliding with the reaction until someone acknowledges that accuracy did not make the delivery harmless. The sender may stand by every sentence and still lose the trust required for the answer to be heard.</x:v>
      </x:c>
      <x:c r="I92" s="54" t="str">
        <x:v>owner-refined Sky aspect v10.1 corpus; owner direction, chat 2026-08-01</x:v>
      </x:c>
      <x:c r="J92" s="56" t="str">
        <x:v>A technically correct message lands as dismissive because its tone ignores what the room is already carrying.</x:v>
      </x:c>
      <x:c r="K92" s="56" t="str">
        <x:v>A technically correct message lands as dismissive because its tone ignores what the room is already carrying. Moon square Mercury can make an automated reply, short email, or carefully worded statement answer the question and still lose the trust required for the answer to be heard. Accuracy is not the whole job when grief, fear, anger, or exhaustion is obvious. Keep the facts, change the delivery. Acknowledge the impact before repeating the policy.</x:v>
      </x:c>
      <x:c r="L92" s="56" t="str">
        <x:v>Completed generic pair-aspect fallback. Use only when sign/date context is unavailable.</x:v>
      </x:c>
      <x:c r="M92" s="56" t="str">
        <x:v>REVIEW READY</x:v>
      </x:c>
      <x:c r="N92" s="54" t="str">
        <x:v>packages/astro-knowledge/data/transits/moon-square-mercury.json</x:v>
      </x:c>
      <x:c r="O92" s="71" t="str">
        <x:v>55c86c1ab12e37a7d6959b055ba9b7bf25a11507ce71547dd614d9272d05b63d</x:v>
      </x:c>
      <x:c r="P92" s="75" t="str">
        <x:v>INCLUDE</x:v>
      </x:c>
      <x:c r="Q92" s="79" t="str"/>
    </x:row>
    <x:row r="93" ht="92" customHeight="1">
      <x:c r="A93" s="54" t="n">
        <x:v>91</x:v>
      </x:c>
      <x:c r="B93" s="54" t="str">
        <x:v>sky.moon.trine.mercury</x:v>
      </x:c>
      <x:c r="C93" s="54" t="str">
        <x:v>Moon trine Mercury</x:v>
      </x:c>
      <x:c r="D93" s="54" t="str">
        <x:v>moon</x:v>
      </x:c>
      <x:c r="E93" s="54" t="str">
        <x:v>trine</x:v>
      </x:c>
      <x:c r="F93" s="54" t="str">
        <x:v>mercury</x:v>
      </x:c>
      <x:c r="G93" s="54" t="str">
        <x:v>The conversation finally reaches the reason someone was upset in the first place.</x:v>
      </x:c>
      <x:c r="H93" s="54" t="str">
        <x:v>The conversation finally reaches the reason someone was upset in the first place. A voice note, private meeting, or direct reply names what hurt, what changed, and what answer is needed next without turning the exchange into another argument. The Moon keeps the feeling honest, while Mercury gives it enough shape for other people to understand and respond. Under the trine, emotion and language support each other instead of competing for control of the room. The answer may remain complicated, but nobody has to keep guessing what caused the reaction.</x:v>
      </x:c>
      <x:c r="I93" s="54" t="str">
        <x:v>owner-refined Sky aspect v10.1 corpus; owner direction, chat 2026-08-01</x:v>
      </x:c>
      <x:c r="J93" s="56" t="str">
        <x:v>The conversation finally reaches the reason someone was upset in the first place.</x:v>
      </x:c>
      <x:c r="K93" s="56" t="str">
        <x:v>The conversation finally reaches the reason someone was upset in the first place. Moon trine Mercury can make a voice note, private meeting, or direct reply clear enough to name what hurt, what changed, and what answer is needed next without starting another argument. Say the part that matters. The goal is not to explain every feeling perfectly; it is to give the other person enough information to respond to the actual problem instead of guessing at the reaction.</x:v>
      </x:c>
      <x:c r="L93" s="56" t="str">
        <x:v>Completed generic pair-aspect fallback. Use only when sign/date context is unavailable.</x:v>
      </x:c>
      <x:c r="M93" s="56" t="str">
        <x:v>REVIEW READY</x:v>
      </x:c>
      <x:c r="N93" s="54" t="str">
        <x:v>packages/astro-knowledge/data/transits/moon-trine-mercury.json</x:v>
      </x:c>
      <x:c r="O93" s="71" t="str">
        <x:v>b2afe99d17aae450d8e4f54af9299a7aa74102dfc23eb95442398b3d4f4d1a00</x:v>
      </x:c>
      <x:c r="P93" s="75" t="str">
        <x:v>INCLUDE</x:v>
      </x:c>
      <x:c r="Q93" s="79" t="str"/>
    </x:row>
    <x:row r="94" ht="92" customHeight="1">
      <x:c r="A94" s="54" t="n">
        <x:v>92</x:v>
      </x:c>
      <x:c r="B94" s="54" t="str">
        <x:v>sky.moon.sextile.mercury</x:v>
      </x:c>
      <x:c r="C94" s="54" t="str">
        <x:v>Moon sextile Mercury</x:v>
      </x:c>
      <x:c r="D94" s="54" t="str">
        <x:v>moon</x:v>
      </x:c>
      <x:c r="E94" s="54" t="str">
        <x:v>sextile</x:v>
      </x:c>
      <x:c r="F94" s="54" t="str">
        <x:v>mercury</x:v>
      </x:c>
      <x:c r="G94" s="54" t="str">
        <x:v>A private concern reaches the right person before it becomes a public problem.</x:v>
      </x:c>
      <x:c r="H94" s="54" t="str">
        <x:v>A private concern reaches the right person before it becomes a public problem. A message about childcare, medication, housing, or a schedule change gives a coordinator enough information to intervene before the day falls apart. The Moon refuses to let the lived need stay off the record, while Mercury turns it into a request someone has to answer. The sextile creates a route toward relief, but the message still has to be sent and taken seriously. A small clarification prevents the person affected from having to explain the same problem after the damage is done.</x:v>
      </x:c>
      <x:c r="I94" s="54" t="str">
        <x:v>owner-refined Sky aspect v10.1 corpus; owner direction, chat 2026-08-01</x:v>
      </x:c>
      <x:c r="J94" s="56" t="str">
        <x:v>A private concern reaches the right person before it becomes a public problem.</x:v>
      </x:c>
      <x:c r="K94" s="56" t="str">
        <x:v>A private concern reaches the right person before it becomes a public problem. Moon sextile Mercury can turn a message about childcare, medication, housing, or a schedule change into enough information for a coordinator to intervene before the day falls apart. Send the message while the problem is still small. Include the time, the practical need, and the answer required. One clear note can save someone from explaining the same problem after the damage is already done.</x:v>
      </x:c>
      <x:c r="L94" s="56" t="str">
        <x:v>Completed generic pair-aspect fallback. Use only when sign/date context is unavailable.</x:v>
      </x:c>
      <x:c r="M94" s="56" t="str">
        <x:v>REVIEW READY</x:v>
      </x:c>
      <x:c r="N94" s="54" t="str">
        <x:v>packages/astro-knowledge/data/transits/moon-sextile-mercury.json</x:v>
      </x:c>
      <x:c r="O94" s="71" t="str">
        <x:v>dfffae478bf92c42129b9eae841aa3dc73b1b97c4cb3a218bb1dbe016906ebbd</x:v>
      </x:c>
      <x:c r="P94" s="75" t="str">
        <x:v>INCLUDE</x:v>
      </x:c>
      <x:c r="Q94" s="79" t="str"/>
    </x:row>
    <x:row r="95" ht="92" customHeight="1">
      <x:c r="A95" s="54" t="n">
        <x:v>93</x:v>
      </x:c>
      <x:c r="B95" s="54" t="str">
        <x:v>sky.moon.conjunction.neptune</x:v>
      </x:c>
      <x:c r="C95" s="54" t="str">
        <x:v>Moon conjunction Neptune</x:v>
      </x:c>
      <x:c r="D95" s="54" t="str">
        <x:v>moon</x:v>
      </x:c>
      <x:c r="E95" s="54" t="str">
        <x:v>conjunction</x:v>
      </x:c>
      <x:c r="F95" s="54" t="str">
        <x:v>neptune</x:v>
      </x:c>
      <x:c r="G95" s="54" t="str">
        <x:v>A shared feeling moves through a family, crowd, or community before anyone can say exactly what happened.</x:v>
      </x:c>
      <x:c r="H95" s="54" t="str">
        <x:v>A shared feeling moves through a family, crowd, or community before anyone can say exactly what happened. Grief, hope, fear, or relief shapes the room and changes decisions even while the facts remain incomplete. The Moon makes the atmosphere personal and immediate, while Neptune blurs the boundary between one person's emotion and everyone else's response. Under the conjunction, the feeling and the uncertainty become one experience. The moment may create extraordinary tenderness while also making it difficult to tell whose need is guiding the decision.</x:v>
      </x:c>
      <x:c r="I95" s="54" t="str">
        <x:v>owner-refined Sky aspect v10.1 corpus; owner direction, chat 2026-08-01</x:v>
      </x:c>
      <x:c r="J95" s="56" t="str">
        <x:v>A shared feeling moves through a family, crowd, or community before anyone can say exactly what happened.</x:v>
      </x:c>
      <x:c r="K95" s="56" t="str">
        <x:v>A shared feeling moves through a family, crowd, or community before anyone can say exactly what happened. Moon conjunct Neptune can make grief, hope, fear, or relief shape the decision while the facts are still incomplete, and one person's emotion can quickly become the atmosphere everyone is responding to. The tenderness can be genuine. So can the confusion. Slow the decision enough to separate what is known from what the room is feeling before the mood starts speaking for everyone.</x:v>
      </x:c>
      <x:c r="L95" s="56" t="str">
        <x:v>Completed generic pair-aspect fallback. Use only when sign/date context is unavailable.</x:v>
      </x:c>
      <x:c r="M95" s="56" t="str">
        <x:v>REVIEW READY</x:v>
      </x:c>
      <x:c r="N95" s="54" t="str">
        <x:v>packages/astro-knowledge/data/transits/moon-conjunction-neptune.json</x:v>
      </x:c>
      <x:c r="O95" s="71" t="str">
        <x:v>7815d1dafddedd47b4e50484cbb8dc866a801bfe5d6fa74df3bc37554c4f77f2</x:v>
      </x:c>
      <x:c r="P95" s="75" t="str">
        <x:v>INCLUDE</x:v>
      </x:c>
      <x:c r="Q95" s="79" t="str"/>
    </x:row>
    <x:row r="96" ht="92" customHeight="1">
      <x:c r="A96" s="54" t="n">
        <x:v>94</x:v>
      </x:c>
      <x:c r="B96" s="54" t="str">
        <x:v>sky.moon.opposition.neptune</x:v>
      </x:c>
      <x:c r="C96" s="54" t="str">
        <x:v>Moon opposition Neptune</x:v>
      </x:c>
      <x:c r="D96" s="54" t="str">
        <x:v>moon</x:v>
      </x:c>
      <x:c r="E96" s="54" t="str">
        <x:v>opposition</x:v>
      </x:c>
      <x:c r="F96" s="54" t="str">
        <x:v>neptune</x:v>
      </x:c>
      <x:c r="G96" s="54" t="str">
        <x:v>The public story describes a moving rescue, while the people living through it describe uncertainty, missing support, and needs that do not fit the narrative.</x:v>
      </x:c>
      <x:c r="H96" s="54" t="str">
        <x:v>The public story describes a moving rescue, while the people living through it describe uncertainty, missing support, and needs that do not fit the narrative. Donors and viewers respond to the image; families and caregivers point to the unglamorous care that continues after attention moves on. The Moon keeps the private reality on the record, while Neptune broadcasts the idealized version to a much larger audience. The opposition places genuine empathy across from the fantasy that empathy alone solved the problem. The story may inspire help, but it can also make the unfinished need harder to admit once everyone believes the crisis has passed.</x:v>
      </x:c>
      <x:c r="I96" s="54" t="str">
        <x:v>owner-refined Sky aspect v10.1 corpus; owner direction, chat 2026-08-01</x:v>
      </x:c>
      <x:c r="J96" s="56" t="str">
        <x:v>The public story describes a moving rescue while the people living through it describe uncertainty, missing support, and needs that do not fit the narrative.</x:v>
      </x:c>
      <x:c r="K96" s="56" t="str">
        <x:v>The public story describes a moving rescue while the people living through it describe uncertainty, missing support, and needs that do not fit the narrative. Moon opposite Neptune can put genuine empathy directly against the fantasy that empathy already solved the problem. Attention may bring donations and still leave families or caregivers doing the unglamorous work after the cameras move on. Ask what remains unfinished. The story is more honest when the need is allowed to continue after the inspiring part ends.</x:v>
      </x:c>
      <x:c r="L96" s="56" t="str">
        <x:v>Completed generic pair-aspect fallback. Use only when sign/date context is unavailable.</x:v>
      </x:c>
      <x:c r="M96" s="56" t="str">
        <x:v>REVIEW READY</x:v>
      </x:c>
      <x:c r="N96" s="54" t="str">
        <x:v>packages/astro-knowledge/data/transits/moon-opposition-neptune.json</x:v>
      </x:c>
      <x:c r="O96" s="71" t="str">
        <x:v>e7c76524083bf14804f69fb29e9abc6a56a57a408b42c89ab4f6fc4ea2eda95e</x:v>
      </x:c>
      <x:c r="P96" s="75" t="str">
        <x:v>INCLUDE</x:v>
      </x:c>
      <x:c r="Q96" s="79" t="str"/>
    </x:row>
    <x:row r="97" ht="92" customHeight="1">
      <x:c r="A97" s="54" t="n">
        <x:v>95</x:v>
      </x:c>
      <x:c r="B97" s="54" t="str">
        <x:v>sky.moon.square.neptune</x:v>
      </x:c>
      <x:c r="C97" s="54" t="str">
        <x:v>Moon square Neptune</x:v>
      </x:c>
      <x:c r="D97" s="54" t="str">
        <x:v>moon</x:v>
      </x:c>
      <x:c r="E97" s="54" t="str">
        <x:v>square</x:v>
      </x:c>
      <x:c r="F97" s="54" t="str">
        <x:v>neptune</x:v>
      </x:c>
      <x:c r="G97" s="54" t="str">
        <x:v>A family or community rallies around a crisis before anyone confirms what kind of help is actually needed.</x:v>
      </x:c>
      <x:c r="H97" s="54" t="str">
        <x:v>A family or community rallies around a crisis before anyone confirms what kind of help is actually needed. Money, advice, visitors, and promises pour in, but the person at the center receives more emotional attention than usable support. The Moon keeps pointing back to food, rest, housing, care, and safety, while Neptune floods the room with sympathy that has no clear boundary or plan. The square turns good intentions into confusion as everyone assumes someone else is handling the practical work. The response may look compassionate from the outside while the same exhausted person is still making every hard decision.</x:v>
      </x:c>
      <x:c r="I97" s="54" t="str">
        <x:v>owner-refined Sky aspect v10.1 corpus; owner direction, chat 2026-08-01</x:v>
      </x:c>
      <x:c r="J97" s="56" t="str">
        <x:v>A family or community rallies around a crisis before anyone confirms what kind of help is actually needed.</x:v>
      </x:c>
      <x:c r="K97" s="56" t="str">
        <x:v>A family or community rallies around a crisis before anyone confirms what kind of help is actually needed. Moon square Neptune can flood the situation with money, advice, visitors, and promises while the same exhausted person is still making every hard decision. Sympathy is not automatically useful support. Ask what would make the next twelve hours easier. Bring the meal, cover the shift, pay the bill, or give the person space instead of making them manage everyone else's concern.</x:v>
      </x:c>
      <x:c r="L97" s="56" t="str">
        <x:v>Completed generic pair-aspect fallback. Use only when sign/date context is unavailable.</x:v>
      </x:c>
      <x:c r="M97" s="56" t="str">
        <x:v>REVIEW READY</x:v>
      </x:c>
      <x:c r="N97" s="54" t="str">
        <x:v>packages/astro-knowledge/data/transits/moon-square-neptune.json</x:v>
      </x:c>
      <x:c r="O97" s="71" t="str">
        <x:v>82973a65f37b509b07848d0c6a4dbcdd7f16019ea30bb6e16d2eeef2164dc4f1</x:v>
      </x:c>
      <x:c r="P97" s="75" t="str">
        <x:v>INCLUDE</x:v>
      </x:c>
      <x:c r="Q97" s="79" t="str"/>
    </x:row>
    <x:row r="98" ht="92" customHeight="1">
      <x:c r="A98" s="54" t="n">
        <x:v>96</x:v>
      </x:c>
      <x:c r="B98" s="54" t="str">
        <x:v>sky.moon.trine.neptune</x:v>
      </x:c>
      <x:c r="C98" s="54" t="str">
        <x:v>Moon trine Neptune</x:v>
      </x:c>
      <x:c r="D98" s="54" t="str">
        <x:v>moon</x:v>
      </x:c>
      <x:c r="E98" s="54" t="str">
        <x:v>trine</x:v>
      </x:c>
      <x:c r="F98" s="54" t="str">
        <x:v>neptune</x:v>
      </x:c>
      <x:c r="G98" s="54" t="str">
        <x:v>A collective loss is met with care that feels personal rather than procedural.</x:v>
      </x:c>
      <x:c r="H98" s="54" t="str">
        <x:v>A collective loss is met with care that feels personal rather than procedural. Vigils, meals, art, childcare, and quiet places to gather appear without forcing mourners to organize the support themselves. The Moon holds the immediate emotional and physical needs, while Neptune connects individual grief to a wider field of empathy. Under the trine, feeling and response move together without requiring anyone to prove the pain is real. The support cannot erase the loss, but it keeps the people carrying it from being left alone with every practical consequence.</x:v>
      </x:c>
      <x:c r="I98" s="54" t="str">
        <x:v>owner-refined Sky aspect v10.1 corpus; owner direction, chat 2026-08-01</x:v>
      </x:c>
      <x:c r="J98" s="56" t="str">
        <x:v>A collective loss is met with care that feels personal rather than procedural.</x:v>
      </x:c>
      <x:c r="K98" s="56" t="str">
        <x:v>A collective loss is met with care that feels personal rather than procedural. Moon trine Neptune can bring meals, vigils, art, childcare, or quiet places to gather without forcing mourners to organize the support themselves. The response does not need to erase the loss to be meaningful. Keep showing up in ways that reduce the practical burden. Grief is easier to carry when care is visible in the food, rides, hours, and space people actually receive.</x:v>
      </x:c>
      <x:c r="L98" s="56" t="str">
        <x:v>Completed generic pair-aspect fallback. Use only when sign/date context is unavailable.</x:v>
      </x:c>
      <x:c r="M98" s="56" t="str">
        <x:v>REVIEW READY</x:v>
      </x:c>
      <x:c r="N98" s="54" t="str">
        <x:v>packages/astro-knowledge/data/transits/moon-trine-neptune.json</x:v>
      </x:c>
      <x:c r="O98" s="71" t="str">
        <x:v>7de04bc916f87ed5a7a822166c869c13cb97fc9603be160279e0a615d4532bda</x:v>
      </x:c>
      <x:c r="P98" s="75" t="str">
        <x:v>INCLUDE</x:v>
      </x:c>
      <x:c r="Q98" s="79" t="str"/>
    </x:row>
    <x:row r="99" ht="92" customHeight="1">
      <x:c r="A99" s="54" t="n">
        <x:v>97</x:v>
      </x:c>
      <x:c r="B99" s="54" t="str">
        <x:v>sky.moon.sextile.neptune</x:v>
      </x:c>
      <x:c r="C99" s="54" t="str">
        <x:v>Moon sextile Neptune</x:v>
      </x:c>
      <x:c r="D99" s="54" t="str">
        <x:v>moon</x:v>
      </x:c>
      <x:c r="E99" s="54" t="str">
        <x:v>sextile</x:v>
      </x:c>
      <x:c r="F99" s="54" t="str">
        <x:v>neptune</x:v>
      </x:c>
      <x:c r="G99" s="54" t="str">
        <x:v>A person notices the need behind a vague request and finds one concrete way to help.</x:v>
      </x:c>
      <x:c r="H99" s="54" t="str">
        <x:v>A person notices the need behind a vague request and finds one concrete way to help. A quiet check-in becomes a meal, ride, room, referral, or payment before the person struggling has to make their private crisis public. The Moon notices the need for comfort, while Neptune catches the grief, fear, or exhaustion that has not been explained clearly. The sextile creates an opening for compassion, but someone still has to turn sensitivity into useful support. The gesture brings relief because it answers the need without demanding a full confession in return.</x:v>
      </x:c>
      <x:c r="I99" s="54" t="str">
        <x:v>owner-refined Sky aspect v10.1 corpus; owner direction, chat 2026-08-01</x:v>
      </x:c>
      <x:c r="J99" s="56" t="str">
        <x:v>Someone notices the need behind a vague request and finds one concrete way to help.</x:v>
      </x:c>
      <x:c r="K99" s="56" t="str">
        <x:v>Someone notices the need behind a vague request and finds one concrete way to help. Moon sextile Neptune can turn a quiet check-in into a meal, ride, room, referral, or payment before the person struggling has to make a private crisis public. Sensitivity matters most when it becomes useful. Offer the specific thing that is actually available and leave room for the answer to be no. Help should reduce the person's work, not create another conversation they have to manage.</x:v>
      </x:c>
      <x:c r="L99" s="56" t="str">
        <x:v>Completed generic pair-aspect fallback. Use only when sign/date context is unavailable.</x:v>
      </x:c>
      <x:c r="M99" s="56" t="str">
        <x:v>REVIEW READY</x:v>
      </x:c>
      <x:c r="N99" s="54" t="str">
        <x:v>packages/astro-knowledge/data/transits/moon-sextile-neptune.json</x:v>
      </x:c>
      <x:c r="O99" s="71" t="str">
        <x:v>0cdc06fa1be6ddfeb447ab94e37511ce1c64e743a117f38475af330bc73cb65e</x:v>
      </x:c>
      <x:c r="P99" s="75" t="str">
        <x:v>INCLUDE</x:v>
      </x:c>
      <x:c r="Q99" s="79" t="str"/>
    </x:row>
    <x:row r="100" ht="92" customHeight="1">
      <x:c r="A100" s="54" t="n">
        <x:v>98</x:v>
      </x:c>
      <x:c r="B100" s="54" t="str">
        <x:v>sky.moon.conjunction.pluto</x:v>
      </x:c>
      <x:c r="C100" s="54" t="str">
        <x:v>Moon conjunction Pluto</x:v>
      </x:c>
      <x:c r="D100" s="54" t="str">
        <x:v>moon</x:v>
      </x:c>
      <x:c r="E100" s="54" t="str">
        <x:v>conjunction</x:v>
      </x:c>
      <x:c r="F100" s="54" t="str">
        <x:v>pluto</x:v>
      </x:c>
      <x:c r="G100" s="54" t="str">
        <x:v>A feeling contained for years changes the terms of the entire conversation.</x:v>
      </x:c>
      <x:c r="H100" s="54" t="str">
        <x:v>A feeling contained for years changes the terms of the entire conversation. Grief, resentment, fear, or a family secret surfaces during a decision that can no longer proceed as though the history were irrelevant. The Moon drags the buried emotional record into the room, while Pluto exposes how silence and control shaped the conflict. Under the conjunction, the disclosure and the shift in power happen together. The truth may bring relief while permanently changing who is trusted and what can remain unspoken.</x:v>
      </x:c>
      <x:c r="I100" s="54" t="str">
        <x:v>owner-refined Sky aspect v10.1 corpus; owner direction, chat 2026-08-01</x:v>
      </x:c>
      <x:c r="J100" s="56" t="str">
        <x:v>A feeling contained for years changes the terms of the entire conversation.</x:v>
      </x:c>
      <x:c r="K100" s="56" t="str">
        <x:v>A feeling contained for years changes the terms of the entire conversation. Moon conjunct Pluto can bring grief, resentment, fear, or a family secret into a decision that can no longer proceed as though the history were irrelevant. The disclosure changes both the emotional record and the balance of power between the people involved. Do not rush to make everyone comfortable again. Name what the new information changes, who now needs access or protection, and what can no longer be handled the old way.</x:v>
      </x:c>
      <x:c r="L100" s="56" t="str">
        <x:v>Completed generic pair-aspect fallback. Use only when sign/date context is unavailable.</x:v>
      </x:c>
      <x:c r="M100" s="56" t="str">
        <x:v>REVIEW READY</x:v>
      </x:c>
      <x:c r="N100" s="54" t="str">
        <x:v>packages/astro-knowledge/data/transits/moon-conjunction-pluto.json</x:v>
      </x:c>
      <x:c r="O100" s="71" t="str">
        <x:v>743d5995ff43ed9c5bdb8596fe4d96d0067b1d1da5c7937936c015212bad1c8d</x:v>
      </x:c>
      <x:c r="P100" s="75" t="str">
        <x:v>INCLUDE</x:v>
      </x:c>
      <x:c r="Q100" s="79" t="str"/>
    </x:row>
    <x:row r="101" ht="92" customHeight="1">
      <x:c r="A101" s="54" t="n">
        <x:v>99</x:v>
      </x:c>
      <x:c r="B101" s="54" t="str">
        <x:v>sky.moon.opposition.pluto</x:v>
      </x:c>
      <x:c r="C101" s="54" t="str">
        <x:v>Moon opposition Pluto</x:v>
      </x:c>
      <x:c r="D101" s="54" t="str">
        <x:v>moon</x:v>
      </x:c>
      <x:c r="E101" s="54" t="str">
        <x:v>opposition</x:v>
      </x:c>
      <x:c r="F101" s="54" t="str">
        <x:v>pluto</x:v>
      </x:c>
      <x:c r="G101" s="54" t="str">
        <x:v>A private need is brought before the person who controls the money, access, housing, or family decision.</x:v>
      </x:c>
      <x:c r="H101" s="54" t="str">
        <x:v>A private need is brought before the person who controls the money, access, housing, or family decision. One side describes fear, care, and the history attached to the request; the other points to ownership, rules, and the consequences of giving up control. The Moon makes vulnerability impossible to dismiss, while Pluto exposes the leverage determining whose feelings can alter the outcome. The opposition places emotional truth directly across from material power. The request may be heard, but the meeting shows whether care has any influence when the person saying no controls every practical option.</x:v>
      </x:c>
      <x:c r="I101" s="54" t="str">
        <x:v>owner-refined Sky aspect v10.1 corpus; owner direction, chat 2026-08-01</x:v>
      </x:c>
      <x:c r="J101" s="56" t="str">
        <x:v>A private need is brought before the person who controls the money, access, housing, or family decision.</x:v>
      </x:c>
      <x:c r="K101" s="56" t="str">
        <x:v>A private need is brought before the person who controls the money, access, housing, or family decision. Moon opposite Pluto makes vulnerability face material power directly, especially when one person can say no and remove every practical option at once. The request deserves more than sympathy if the decision affects someone's safety or care. Put the terms on the table. Ask what can change, what cannot, and who else has authority if the person holding the leverage refuses to move.</x:v>
      </x:c>
      <x:c r="L101" s="56" t="str">
        <x:v>Completed generic pair-aspect fallback. Use only when sign/date context is unavailable.</x:v>
      </x:c>
      <x:c r="M101" s="56" t="str">
        <x:v>REVIEW READY</x:v>
      </x:c>
      <x:c r="N101" s="54" t="str">
        <x:v>packages/astro-knowledge/data/transits/moon-opposition-pluto.json</x:v>
      </x:c>
      <x:c r="O101" s="71" t="str">
        <x:v>eb2328b71d4c4d68abd21be8dd606b6a3eecaf356766f5aea544945cccabb216</x:v>
      </x:c>
      <x:c r="P101" s="75" t="str">
        <x:v>INCLUDE</x:v>
      </x:c>
      <x:c r="Q101" s="79" t="str"/>
    </x:row>
    <x:row r="102" ht="92" customHeight="1">
      <x:c r="A102" s="54" t="n">
        <x:v>100</x:v>
      </x:c>
      <x:c r="B102" s="54" t="str">
        <x:v>sky.moon.square.pluto</x:v>
      </x:c>
      <x:c r="C102" s="54" t="str">
        <x:v>Moon square Pluto</x:v>
      </x:c>
      <x:c r="D102" s="54" t="str">
        <x:v>moon</x:v>
      </x:c>
      <x:c r="E102" s="54" t="str">
        <x:v>square</x:v>
      </x:c>
      <x:c r="F102" s="54" t="str">
        <x:v>pluto</x:v>
      </x:c>
      <x:c r="G102" s="54" t="str">
        <x:v>A last-minute schedule change triggers a sharp conflict over who actually gets to make the call.</x:v>
      </x:c>
      <x:c r="H102" s="54" t="str">
        <x:v>A last-minute schedule change triggers a sharp conflict over who actually gets to make the call. One person reacts instantly, but the manager, parent, or venue owner responds by enforcing strict policy and shutting down further discussion. The Moon makes the initial anger impossible to hide, while Pluto uses rank, contract, or financial leverage to squash the pushback. Friction accumulates under the square until the disagreement becomes a direct challenge to the existing power structure. The original decision may hold, but everyone involved leaves knowing how quickly goodwill evaporates the moment authority feels questioned.</x:v>
      </x:c>
      <x:c r="I102" s="54" t="str">
        <x:v>owner-refined Sky aspect v10.1 corpus; owner direction, chat 2026-08-01</x:v>
      </x:c>
      <x:c r="J102" s="56" t="str">
        <x:v>A last-minute schedule change triggers a sharp conflict over who actually gets to make the call.</x:v>
      </x:c>
      <x:c r="K102" s="56" t="str">
        <x:v>A last-minute schedule change triggers a sharp conflict over who actually gets to make the call. Moon square Pluto can turn an immediate emotional reaction into a direct challenge to the person using rank, contract, policy, or money to shut the discussion down. The original decision may still stand, but the conflict exposes where authority becomes control. Before escalating, identify the rule being enforced and who can actually change it. Do not spend the whole argument on the person enforcing a rule they have no authority to revise.</x:v>
      </x:c>
      <x:c r="L102" s="56" t="str">
        <x:v>Completed generic pair-aspect fallback. Use only when sign/date context is unavailable.</x:v>
      </x:c>
      <x:c r="M102" s="56" t="str">
        <x:v>REVIEW READY</x:v>
      </x:c>
      <x:c r="N102" s="54" t="str">
        <x:v>packages/astro-knowledge/data/transits/moon-square-pluto.json</x:v>
      </x:c>
      <x:c r="O102" s="71" t="str">
        <x:v>74d740c5d8cd0125b6315603b1d2721dc0135c72d41739946d880974e022c9fb</x:v>
      </x:c>
      <x:c r="P102" s="75" t="str">
        <x:v>INCLUDE</x:v>
      </x:c>
      <x:c r="Q102" s="79" t="str"/>
    </x:row>
    <x:row r="103" ht="92" customHeight="1">
      <x:c r="A103" s="54" t="n">
        <x:v>101</x:v>
      </x:c>
      <x:c r="B103" s="54" t="str">
        <x:v>sky.moon.trine.pluto</x:v>
      </x:c>
      <x:c r="C103" s="54" t="str">
        <x:v>Moon trine Pluto</x:v>
      </x:c>
      <x:c r="D103" s="54" t="str">
        <x:v>moon</x:v>
      </x:c>
      <x:c r="E103" s="54" t="str">
        <x:v>trine</x:v>
      </x:c>
      <x:c r="F103" s="54" t="str">
        <x:v>pluto</x:v>
      </x:c>
      <x:c r="G103" s="54" t="str">
        <x:v>Long-standing emotional baggage comes into the open without the conversation becoming a fight.</x:v>
      </x:c>
      <x:c r="H103" s="54" t="str">
        <x:v>Long-standing emotional baggage comes into the open without the conversation becoming a fight. Grief, anxiety, or an old family loyalty can be discussed without forcing anyone to reveal more than they are ready to share. The Moon registers the emotional history, while Pluto brings silence, fear, loyalty, and control into view. Under the trine, honesty moves through the room without turning vulnerability into a weapon. The conversation may feel safer than expected, but what surfaces could change how everyone understands the past.</x:v>
      </x:c>
      <x:c r="I103" s="54" t="str">
        <x:v>owner-refined Sky aspect v10.1 corpus; owner direction, chat 2026-08-01</x:v>
      </x:c>
      <x:c r="J103" s="56" t="str">
        <x:v>Long-standing emotional baggage comes into the open without the conversation becoming a fight.</x:v>
      </x:c>
      <x:c r="K103" s="56" t="str">
        <x:v>Long-standing emotional baggage comes into the open without the conversation becoming a fight. Moon trine Pluto can make grief, anxiety, or an old family loyalty easier to name without forcing anyone to reveal more than they are ready to share. Honesty has enough room to move here without turning vulnerability into a weapon. Let the conversation change the understanding of the past. The truth can matter even when one conversation does not resolve every old hurt.</x:v>
      </x:c>
      <x:c r="L103" s="56" t="str">
        <x:v>Completed generic pair-aspect fallback. Use only when sign/date context is unavailable.</x:v>
      </x:c>
      <x:c r="M103" s="56" t="str">
        <x:v>REVIEW READY</x:v>
      </x:c>
      <x:c r="N103" s="54" t="str">
        <x:v>packages/astro-knowledge/data/transits/moon-trine-pluto.json</x:v>
      </x:c>
      <x:c r="O103" s="71" t="str">
        <x:v>97a30c8d0abd713032c1394913998026561e42298a4dfbef7409a0e061e9c91f</x:v>
      </x:c>
      <x:c r="P103" s="75" t="str">
        <x:v>INCLUDE</x:v>
      </x:c>
      <x:c r="Q103" s="79" t="str"/>
    </x:row>
    <x:row r="104" ht="92" customHeight="1">
      <x:c r="A104" s="54" t="n">
        <x:v>102</x:v>
      </x:c>
      <x:c r="B104" s="54" t="str">
        <x:v>sky.moon.sextile.pluto</x:v>
      </x:c>
      <x:c r="C104" s="54" t="str">
        <x:v>Moon sextile Pluto</x:v>
      </x:c>
      <x:c r="D104" s="54" t="str">
        <x:v>moon</x:v>
      </x:c>
      <x:c r="E104" s="54" t="str">
        <x:v>sextile</x:v>
      </x:c>
      <x:c r="F104" s="54" t="str">
        <x:v>pluto</x:v>
      </x:c>
      <x:c r="G104" s="54" t="str">
        <x:v>A difficult family or care conversation reaches the person with enough authority to change the arrangement.</x:v>
      </x:c>
      <x:c r="H104" s="54" t="str">
        <x:v>A difficult family or care conversation reaches the person with enough authority to change the arrangement. One disclosure about money, safety, resentment, or an old loyalty gives the family a chance to correct the problem before silence hardens around it again. The Moon pulls the emotional history into the open, while Pluto exposes who has controlled the information and the terms. The sextile opens a route toward a more honest agreement, but someone still has to name what the family has protected. The conversation can reduce the pressure because the real source of fear is no longer being managed through hints.</x:v>
      </x:c>
      <x:c r="I104" s="54" t="str">
        <x:v>owner-refined Sky aspect v10.1 corpus; owner direction, chat 2026-08-01</x:v>
      </x:c>
      <x:c r="J104" s="56" t="str">
        <x:v>A difficult family or care conversation reaches the person with enough authority to change the arrangement.</x:v>
      </x:c>
      <x:c r="K104" s="56" t="str">
        <x:v>A difficult family or care conversation reaches the person with enough authority to change the arrangement. Moon sextile Pluto can turn one disclosure about money, safety, resentment, or an old loyalty into a chance to correct the problem before silence hardens around it again. The useful part is that the actual source of fear is finally being named. Ask for the change that would reduce the pressure now. Do not waste the opening on hints everyone has already learned to ignore.</x:v>
      </x:c>
      <x:c r="L104" s="56" t="str">
        <x:v>Completed generic pair-aspect fallback. Use only when sign/date context is unavailable.</x:v>
      </x:c>
      <x:c r="M104" s="56" t="str">
        <x:v>REVIEW READY</x:v>
      </x:c>
      <x:c r="N104" s="54" t="str">
        <x:v>packages/astro-knowledge/data/transits/moon-sextile-pluto.json</x:v>
      </x:c>
      <x:c r="O104" s="71" t="str">
        <x:v>176351812b2086ff37578e980ddabda83e0cb78dfe34d270bd66b417790235bd</x:v>
      </x:c>
      <x:c r="P104" s="75" t="str">
        <x:v>INCLUDE</x:v>
      </x:c>
      <x:c r="Q104" s="79" t="str"/>
    </x:row>
    <x:row r="105" ht="92" customHeight="1">
      <x:c r="A105" s="54" t="n">
        <x:v>103</x:v>
      </x:c>
      <x:c r="B105" s="54" t="str">
        <x:v>sky.moon.conjunction.saturn</x:v>
      </x:c>
      <x:c r="C105" s="54" t="str">
        <x:v>Moon conjunction Saturn</x:v>
      </x:c>
      <x:c r="D105" s="54" t="str">
        <x:v>moon</x:v>
      </x:c>
      <x:c r="E105" s="54" t="str">
        <x:v>conjunction</x:v>
      </x:c>
      <x:c r="F105" s="54" t="str">
        <x:v>saturn</x:v>
      </x:c>
      <x:c r="G105" s="54" t="str">
        <x:v>A private responsibility becomes the condition attached to every other decision.</x:v>
      </x:c>
      <x:c r="H105" s="54" t="str">
        <x:v>A private responsibility becomes the condition attached to every other decision. Caregiving, grief, housing, or family duty takes over the schedule and requires a commitment that cannot be postponed or delegated easily. The Moon brings the need for protection and care forward, while Saturn turns that need into a fixed obligation. Under the conjunction, vulnerability and responsibility arrive as one reality. The arrangement may keep someone safe while quietly narrowing the life of the person expected to maintain it.</x:v>
      </x:c>
      <x:c r="I105" s="54" t="str">
        <x:v>owner-refined Sky aspect v10.1 corpus; owner direction, chat 2026-08-01</x:v>
      </x:c>
      <x:c r="J105" s="56" t="str">
        <x:v>A private responsibility becomes the condition attached to every other decision.</x:v>
      </x:c>
      <x:c r="K105" s="56" t="str">
        <x:v>A private responsibility becomes the condition attached to every other decision. Moon conjunct Saturn can make caregiving, grief, housing, or family duty feel less like one task and more like the structure the entire schedule has to move around. The arrangement may be necessary and still narrow the life of the person expected to maintain it. Name what the responsibility actually requires each week. If the plan only works because one person never gets to be unavailable, the plan needs more support.</x:v>
      </x:c>
      <x:c r="L105" s="56" t="str">
        <x:v>Completed generic pair-aspect fallback. Use only when sign/date context is unavailable.</x:v>
      </x:c>
      <x:c r="M105" s="56" t="str">
        <x:v>REVIEW READY</x:v>
      </x:c>
      <x:c r="N105" s="54" t="str">
        <x:v>packages/astro-knowledge/data/transits/moon-conjunction-saturn.json</x:v>
      </x:c>
      <x:c r="O105" s="71" t="str">
        <x:v>e166a8674ef96167c13e24bd64b5aca2ea51804250e7adef8d0e4fcffd06a3f7</x:v>
      </x:c>
      <x:c r="P105" s="75" t="str">
        <x:v>INCLUDE</x:v>
      </x:c>
      <x:c r="Q105" s="79" t="str"/>
    </x:row>
    <x:row r="106" ht="92" customHeight="1">
      <x:c r="A106" s="54" t="n">
        <x:v>104</x:v>
      </x:c>
      <x:c r="B106" s="54" t="str">
        <x:v>sky.moon.opposition.saturn</x:v>
      </x:c>
      <x:c r="C106" s="54" t="str">
        <x:v>Moon opposition Saturn</x:v>
      </x:c>
      <x:c r="D106" s="54" t="str">
        <x:v>moon</x:v>
      </x:c>
      <x:c r="E106" s="54" t="str">
        <x:v>opposition</x:v>
      </x:c>
      <x:c r="F106" s="54" t="str">
        <x:v>saturn</x:v>
      </x:c>
      <x:c r="G106" s="54" t="str">
        <x:v>A human crisis collides with an unyielding institutional timeline.</x:v>
      </x:c>
      <x:c r="H106" s="54" t="str">
        <x:v>A human crisis collides with an unyielding institutional timeline. One side pleads for family leave, rent relief, or a deadline shift; the other points to the contract, budget, and duties that cannot be reassigned. The Moon makes the private need and emotional cost impossible to sanitize, while Saturn defends the structure meant to contain exceptions. The opposition keeps both truths in full view without making them equally powerful. The outcome may satisfy every regulation and still force someone to carry the heaviest consequence alone.</x:v>
      </x:c>
      <x:c r="I106" s="54" t="str">
        <x:v>owner-refined Sky aspect v10.1 corpus; owner direction, chat 2026-08-01</x:v>
      </x:c>
      <x:c r="J106" s="56" t="str">
        <x:v>A human crisis collides with an unyielding institutional timeline.</x:v>
      </x:c>
      <x:c r="K106" s="56" t="str">
        <x:v>A human crisis collides with an unyielding institutional timeline. Moon opposite Saturn can put a request for family leave, rent relief, or a deadline shift directly across from the contract, budget, or duty someone else is authorized to enforce. The rules may be applied correctly and still leave one person carrying the heaviest consequence alone. Ask what exception process exists, who can authorize it, and what documentation is required. Do not stop at the first person whose job is only to repeat the limit.</x:v>
      </x:c>
      <x:c r="L106" s="56" t="str">
        <x:v>Completed generic pair-aspect fallback. Use only when sign/date context is unavailable.</x:v>
      </x:c>
      <x:c r="M106" s="56" t="str">
        <x:v>REVIEW READY</x:v>
      </x:c>
      <x:c r="N106" s="54" t="str">
        <x:v>packages/astro-knowledge/data/transits/moon-opposition-saturn.json</x:v>
      </x:c>
      <x:c r="O106" s="71" t="str">
        <x:v>c0d877a08abe26482abde5963d8e8571c62ecb7716540b7e45cf0f14f2aa38ae</x:v>
      </x:c>
      <x:c r="P106" s="75" t="str">
        <x:v>INCLUDE</x:v>
      </x:c>
      <x:c r="Q106" s="79" t="str"/>
    </x:row>
    <x:row r="107" ht="92" customHeight="1">
      <x:c r="A107" s="54" t="n">
        <x:v>105</x:v>
      </x:c>
      <x:c r="B107" s="54" t="str">
        <x:v>sky.moon.square.saturn</x:v>
      </x:c>
      <x:c r="C107" s="54" t="str">
        <x:v>Moon square Saturn</x:v>
      </x:c>
      <x:c r="D107" s="54" t="str">
        <x:v>moon</x:v>
      </x:c>
      <x:c r="E107" s="54" t="str">
        <x:v>square</x:v>
      </x:c>
      <x:c r="F107" s="54" t="str">
        <x:v>saturn</x:v>
      </x:c>
      <x:c r="G107" s="54" t="str">
        <x:v>A family, housing, or care need runs into a deadline that will not move.</x:v>
      </x:c>
      <x:c r="H107" s="54" t="str">
        <x:v>A family, housing, or care need runs into a deadline that will not move. The person asking for time explains the emergency, but the employer, landlord, lender, or agency returns to policy and refuses an exception. The Moon protects the person living with the crisis, while Saturn enforces the contract and the obligations attached to it. Under the tension of the square, a human emergency stays pinned against a structure designed to ignore individual circumstances. The rule may be applied correctly while one person is still left carrying a cost the institution will never have to feel.</x:v>
      </x:c>
      <x:c r="I107" s="54" t="str">
        <x:v>owner-refined Sky aspect v10.1 corpus; owner direction, chat 2026-08-01</x:v>
      </x:c>
      <x:c r="J107" s="56" t="str">
        <x:v>A family, housing, or care need runs into a deadline that will not move.</x:v>
      </x:c>
      <x:c r="K107" s="56" t="str">
        <x:v>A family, housing, or care need runs into a deadline that will not move. Moon square Saturn can make an employer, landlord, lender, or agency keep returning to policy while the person living through the crisis keeps absorbing the cost. The rule may be technically correct and still create a preventable hardship. Get the deadline, policy, and escalation path in writing. Then focus on the part that can still be negotiated instead of spending the day arguing with a limit the person enforcing it has no authority to change.</x:v>
      </x:c>
      <x:c r="L107" s="56" t="str">
        <x:v>Completed generic pair-aspect fallback. Use only when sign/date context is unavailable.</x:v>
      </x:c>
      <x:c r="M107" s="56" t="str">
        <x:v>REVIEW READY</x:v>
      </x:c>
      <x:c r="N107" s="54" t="str">
        <x:v>packages/astro-knowledge/data/transits/moon-square-saturn.json</x:v>
      </x:c>
      <x:c r="O107" s="71" t="str">
        <x:v>53f8a3f810d8d4fd33297ab86de75ff353e4727a4568659fa5e7bb8047fa27a6</x:v>
      </x:c>
      <x:c r="P107" s="75" t="str">
        <x:v>INCLUDE</x:v>
      </x:c>
      <x:c r="Q107" s="79" t="str"/>
    </x:row>
    <x:row r="108" ht="92" customHeight="1">
      <x:c r="A108" s="54" t="n">
        <x:v>106</x:v>
      </x:c>
      <x:c r="B108" s="54" t="str">
        <x:v>sky.moon.trine.saturn</x:v>
      </x:c>
      <x:c r="C108" s="54" t="str">
        <x:v>Moon trine Saturn</x:v>
      </x:c>
      <x:c r="D108" s="54" t="str">
        <x:v>moon</x:v>
      </x:c>
      <x:c r="E108" s="54" t="str">
        <x:v>trine</x:v>
      </x:c>
      <x:c r="F108" s="54" t="str">
        <x:v>saturn</x:v>
      </x:c>
      <x:c r="G108" s="54" t="str">
        <x:v>The caregiver schedule, budget, and backup plan are confirmed before the need becomes urgent.</x:v>
      </x:c>
      <x:c r="H108" s="54" t="str">
        <x:v>The caregiver schedule, budget, and backup plan are confirmed before the need becomes urgent. Everyone knows who is covering each shift, what the money pays for, and when the arrangement will be reviewed. The Moon keeps the person receiving care from disappearing into the schedule, while Saturn builds a structure that can survive a difficult week. Under the trine, compassion and limits reinforce each other without making care feel cold. The plan holds because the people providing support are not required to disappear inside it.</x:v>
      </x:c>
      <x:c r="I108" s="54" t="str">
        <x:v>owner-refined Sky aspect v10.1 corpus; owner direction, chat 2026-08-01</x:v>
      </x:c>
      <x:c r="J108" s="56" t="str">
        <x:v>The caregiver schedule, budget, and backup plan are confirmed before the need becomes urgent.</x:v>
      </x:c>
      <x:c r="K108" s="56" t="str">
        <x:v>The caregiver schedule, budget, and backup plan are confirmed before the need becomes urgent. Moon trine Saturn can make compassion more reliable because everybody knows who is covering each shift, what the money pays for, and when the arrangement will be reviewed. Care feels less cold when the structure protects both the person receiving it and the people providing it. Keep the backup current. A good plan should survive one person getting sick, needing a day off, or simply reaching their limit.</x:v>
      </x:c>
      <x:c r="L108" s="56" t="str">
        <x:v>Completed generic pair-aspect fallback. Use only when sign/date context is unavailable.</x:v>
      </x:c>
      <x:c r="M108" s="56" t="str">
        <x:v>REVIEW READY</x:v>
      </x:c>
      <x:c r="N108" s="54" t="str">
        <x:v>packages/astro-knowledge/data/transits/moon-trine-saturn.json</x:v>
      </x:c>
      <x:c r="O108" s="71" t="str">
        <x:v>3bec36104c16ba989f5f4f900dc558714b5a27937342fe6a1e70a61b24340da5</x:v>
      </x:c>
      <x:c r="P108" s="75" t="str">
        <x:v>INCLUDE</x:v>
      </x:c>
      <x:c r="Q108" s="79" t="str"/>
    </x:row>
    <x:row r="109" ht="92" customHeight="1">
      <x:c r="A109" s="54" t="n">
        <x:v>107</x:v>
      </x:c>
      <x:c r="B109" s="54" t="str">
        <x:v>sky.moon.sextile.saturn</x:v>
      </x:c>
      <x:c r="C109" s="54" t="str">
        <x:v>Moon sextile Saturn</x:v>
      </x:c>
      <x:c r="D109" s="54" t="str">
        <x:v>moon</x:v>
      </x:c>
      <x:c r="E109" s="54" t="str">
        <x:v>sextile</x:v>
      </x:c>
      <x:c r="F109" s="54" t="str">
        <x:v>saturn</x:v>
      </x:c>
      <x:c r="G109" s="54" t="str">
        <x:v>A care plan becomes workable after one person names the limit everyone else was avoiding.</x:v>
      </x:c>
      <x:c r="H109" s="54" t="str">
        <x:v>A care plan becomes workable after one person names the limit everyone else was avoiding. The schedule is reduced, the payment is arranged, or a deadline moves just enough to keep the responsibility from falling apart. The Moon keeps the person inside the plan, while Saturn gives the help a duration, owner, and stopping point. The sextile creates a practical opening, but someone still has to make the difficult adjustment official. The support becomes more reliable because nobody is pretending time and energy are unlimited.</x:v>
      </x:c>
      <x:c r="I109" s="54" t="str">
        <x:v>owner-refined Sky aspect v10.1 corpus; owner direction, chat 2026-08-01</x:v>
      </x:c>
      <x:c r="J109" s="56" t="str">
        <x:v>A care plan becomes workable after one person names the limit everyone else was avoiding.</x:v>
      </x:c>
      <x:c r="K109" s="56" t="str">
        <x:v>A care plan becomes workable after one person names the limit everyone else was avoiding. Moon sextile Saturn can make a smaller schedule, arranged payment, or moved deadline enough to keep the responsibility from falling apart. The help becomes more reliable because time and energy are finally being treated as finite. Make the adjustment official. Name who owns the next step, when the arrangement ends, and what happens if the need lasts longer than expected.</x:v>
      </x:c>
      <x:c r="L109" s="56" t="str">
        <x:v>Completed generic pair-aspect fallback. Use only when sign/date context is unavailable.</x:v>
      </x:c>
      <x:c r="M109" s="56" t="str">
        <x:v>REVIEW READY</x:v>
      </x:c>
      <x:c r="N109" s="54" t="str">
        <x:v>packages/astro-knowledge/data/transits/moon-sextile-saturn.json</x:v>
      </x:c>
      <x:c r="O109" s="71" t="str">
        <x:v>18faa664aa10fe20228edcc103c600fed16eb7788c8a473ed01994a92ff17c17</x:v>
      </x:c>
      <x:c r="P109" s="75" t="str">
        <x:v>INCLUDE</x:v>
      </x:c>
      <x:c r="Q109" s="79" t="str"/>
    </x:row>
    <x:row r="110" ht="92" customHeight="1">
      <x:c r="A110" s="54" t="n">
        <x:v>108</x:v>
      </x:c>
      <x:c r="B110" s="54" t="str">
        <x:v>sky.moon.conjunction.uranus</x:v>
      </x:c>
      <x:c r="C110" s="54" t="str">
        <x:v>Moon conjunction Uranus</x:v>
      </x:c>
      <x:c r="D110" s="54" t="str">
        <x:v>moon</x:v>
      </x:c>
      <x:c r="E110" s="54" t="str">
        <x:v>conjunction</x:v>
      </x:c>
      <x:c r="F110" s="54" t="str">
        <x:v>uranus</x:v>
      </x:c>
      <x:c r="G110" s="54" t="str">
        <x:v>A comfortable routine is disrupted overnight by a price hike, property shift, or forced technology upgrade.</x:v>
      </x:c>
      <x:c r="H110" s="54" t="str">
        <x:v>A comfortable routine is disrupted overnight by a price hike, property shift, or forced technology upgrade. Rent rises, a long-standing service closes, or a household system is replaced before anyone can prepare. The Moon holds to familiar rhythms and physical predictability, while Uranus upends the cost, property rules, or infrastructure underneath them. Under the conjunction, the emotional shock and the practical change arrive as the same event. The shift may offer greater independence to some while leaving others scrambling to replace what felt entirely secure.</x:v>
      </x:c>
      <x:c r="I110" s="54" t="str">
        <x:v>owner-refined Sky aspect v10.1 corpus; owner direction, chat 2026-08-01</x:v>
      </x:c>
      <x:c r="J110" s="56" t="str">
        <x:v>A comfortable routine is disrupted overnight by a price hike, property shift, or forced technology upgrade.</x:v>
      </x:c>
      <x:c r="K110" s="56" t="str">
        <x:v>A comfortable routine is disrupted overnight by a price hike, property shift, or forced technology upgrade. Moon conjunct Uranus can make the emotional shock and the practical change arrive at the same time, leaving people to replace something they depended on before they have processed losing it. The new system may offer more freedom to some and create chaos for others. Deal with the immediate replacement first. People adapt faster when they know where they are sleeping, paying, logging in, or getting the service tomorrow morning.</x:v>
      </x:c>
      <x:c r="L110" s="56" t="str">
        <x:v>Completed generic pair-aspect fallback. Use only when sign/date context is unavailable.</x:v>
      </x:c>
      <x:c r="M110" s="56" t="str">
        <x:v>REVIEW READY</x:v>
      </x:c>
      <x:c r="N110" s="54" t="str">
        <x:v>packages/astro-knowledge/data/transits/moon-conjunction-uranus.json</x:v>
      </x:c>
      <x:c r="O110" s="71" t="str">
        <x:v>731d7b94e77d216f77c06cd89243168cc0b90be401800dbb12a8225a775dc864</x:v>
      </x:c>
      <x:c r="P110" s="75" t="str">
        <x:v>INCLUDE</x:v>
      </x:c>
      <x:c r="Q110" s="79" t="str"/>
    </x:row>
    <x:row r="111" ht="92" customHeight="1">
      <x:c r="A111" s="54" t="n">
        <x:v>109</x:v>
      </x:c>
      <x:c r="B111" s="54" t="str">
        <x:v>sky.moon.opposition.uranus</x:v>
      </x:c>
      <x:c r="C111" s="54" t="str">
        <x:v>Moon opposition Uranus</x:v>
      </x:c>
      <x:c r="D111" s="54" t="str">
        <x:v>moon</x:v>
      </x:c>
      <x:c r="E111" s="54" t="str">
        <x:v>opposition</x:v>
      </x:c>
      <x:c r="F111" s="54" t="str">
        <x:v>uranus</x:v>
      </x:c>
      <x:c r="G111" s="54" t="str">
        <x:v>One group fights to preserve a familiar routine while another insists the arrangement has to change now.</x:v>
      </x:c>
      <x:c r="H111" s="54" t="str">
        <x:v>One group fights to preserve a familiar routine while another insists the arrangement has to change now. Residents defend stability, costs, and the support they know; reformers point to a system that is outdated, restrictive, or already failing someone else. The Moon holds the need for continuity, while Uranus gives the demand for freedom and reform equal force. The opposition places comfort and change across from each other without allowing either side to claim there is no cost. The final decision may improve the system and still leave some people grieving the only version that ever felt reliable.</x:v>
      </x:c>
      <x:c r="I111" s="54" t="str">
        <x:v>owner-refined Sky aspect v10.1 corpus; owner direction, chat 2026-08-01</x:v>
      </x:c>
      <x:c r="J111" s="56" t="str">
        <x:v>One group fights to preserve a familiar routine while another insists the arrangement has to change now.</x:v>
      </x:c>
      <x:c r="K111" s="56" t="str">
        <x:v>One group fights to preserve a familiar routine while another insists the arrangement has to change now. Moon opposite Uranus can put continuity directly across from reform, especially when the old system has been reliable for some people and restrictive for others. Improvement can still carry grief. Build the transition around the people with the least flexibility. A better system is harder to defend if the people who depended on the old one are simply told to adjust on their own.</x:v>
      </x:c>
      <x:c r="L111" s="56" t="str">
        <x:v>Completed generic pair-aspect fallback. Use only when sign/date context is unavailable.</x:v>
      </x:c>
      <x:c r="M111" s="56" t="str">
        <x:v>REVIEW READY</x:v>
      </x:c>
      <x:c r="N111" s="54" t="str">
        <x:v>packages/astro-knowledge/data/transits/moon-opposition-uranus.json</x:v>
      </x:c>
      <x:c r="O111" s="71" t="str">
        <x:v>7325b15b4ad5508b80cb2945892c2ebbf9d56948263a86e2cd22ceb78470c036</x:v>
      </x:c>
      <x:c r="P111" s="75" t="str">
        <x:v>INCLUDE</x:v>
      </x:c>
      <x:c r="Q111" s="79" t="str"/>
    </x:row>
    <x:row r="112" ht="92" customHeight="1">
      <x:c r="A112" s="54" t="n">
        <x:v>110</x:v>
      </x:c>
      <x:c r="B112" s="54" t="str">
        <x:v>sky.moon.square.uranus</x:v>
      </x:c>
      <x:c r="C112" s="54" t="str">
        <x:v>Moon square Uranus</x:v>
      </x:c>
      <x:c r="D112" s="54" t="str">
        <x:v>moon</x:v>
      </x:c>
      <x:c r="E112" s="54" t="str">
        <x:v>square</x:v>
      </x:c>
      <x:c r="F112" s="54" t="str">
        <x:v>uranus</x:v>
      </x:c>
      <x:c r="G112" s="54" t="str">
        <x:v>A sudden closure, outage, or schedule reversal knocks out the routine people were relying on.</x:v>
      </x:c>
      <x:c r="H112" s="54" t="str">
        <x:v>A sudden closure, outage, or schedule reversal knocks out the routine people were relying on. Families, staff, or residents scramble for care, transportation, supplies, and information while the person announcing the change calls it unavoidable. The Moon exposes how much daily life depended on the old arrangement, while Uranus makes the break immediate and impossible to plan around. The square turns disruption into a direct fight over who was expected to have a backup. The change may be necessary, but the people with the least flexibility absorb the chaos first.</x:v>
      </x:c>
      <x:c r="I112" s="54" t="str">
        <x:v>owner-refined Sky aspect v10.1 corpus; owner direction, chat 2026-08-01</x:v>
      </x:c>
      <x:c r="J112" s="56" t="str">
        <x:v>A sudden closure, outage, or schedule reversal knocks out the routine people were relying on.</x:v>
      </x:c>
      <x:c r="K112" s="56" t="str">
        <x:v>A sudden closure, outage, or schedule reversal knocks out the routine people were relying on. Moon square Uranus can turn an unavoidable change into a much larger crisis when families, staff, or residents are left scrambling for care, transportation, supplies, and information at the same time. The people with the least flexibility absorb the chaos first. Give them the replacement plan before the explanation. Then explain what changed, how long it may last, and who is responsible for the next update.</x:v>
      </x:c>
      <x:c r="L112" s="56" t="str">
        <x:v>Completed generic pair-aspect fallback. Use only when sign/date context is unavailable.</x:v>
      </x:c>
      <x:c r="M112" s="56" t="str">
        <x:v>REVIEW READY</x:v>
      </x:c>
      <x:c r="N112" s="54" t="str">
        <x:v>packages/astro-knowledge/data/transits/moon-square-uranus.json</x:v>
      </x:c>
      <x:c r="O112" s="71" t="str">
        <x:v>18a1fabad5df3426c7e284a1ed30acc39b5836c03193b13a8c2cf7d8fee463cd</x:v>
      </x:c>
      <x:c r="P112" s="75" t="str">
        <x:v>INCLUDE</x:v>
      </x:c>
      <x:c r="Q112" s="79" t="str"/>
    </x:row>
    <x:row r="113" ht="92" customHeight="1">
      <x:c r="A113" s="54" t="n">
        <x:v>111</x:v>
      </x:c>
      <x:c r="B113" s="54" t="str">
        <x:v>sky.moon.trine.uranus</x:v>
      </x:c>
      <x:c r="C113" s="54" t="str">
        <x:v>Moon trine Uranus</x:v>
      </x:c>
      <x:c r="D113" s="54" t="str">
        <x:v>moon</x:v>
      </x:c>
      <x:c r="E113" s="54" t="str">
        <x:v>trine</x:v>
      </x:c>
      <x:c r="F113" s="54" t="str">
        <x:v>uranus</x:v>
      </x:c>
      <x:c r="G113" s="54" t="str">
        <x:v>A new arrangement makes daily life easier almost immediately.</x:v>
      </x:c>
      <x:c r="H113" s="54" t="str">
        <x:v>A new arrangement makes daily life easier almost immediately. Flexible hours, shared transport, accessible technology, or a changed household role solves a problem people had started treating as permanent. The Moon judges the change by whether daily life gets easier, while Uranus replaces the assumption that the old way was the only workable option. Under the trine, adaptation happens without making instability the price of improvement. The new rhythm takes hold because people can feel the practical relief before they are asked to defend the change.</x:v>
      </x:c>
      <x:c r="I113" s="54" t="str">
        <x:v>owner-refined Sky aspect v10.1 corpus; owner direction, chat 2026-08-01</x:v>
      </x:c>
      <x:c r="J113" s="56" t="str">
        <x:v>A new arrangement makes daily life easier almost immediately.</x:v>
      </x:c>
      <x:c r="K113" s="56" t="str">
        <x:v>A new arrangement makes daily life easier almost immediately. Moon trine Uranus can make flexible hours, shared transport, accessible technology, or a changed household role solve a problem people had started treating as permanent. The relief is the evidence. Keep what makes the day easier and do not rebuild the old restriction just because it is familiar. A good change should reduce strain without asking everyone to live in constant instability.</x:v>
      </x:c>
      <x:c r="L113" s="56" t="str">
        <x:v>Completed generic pair-aspect fallback. Use only when sign/date context is unavailable.</x:v>
      </x:c>
      <x:c r="M113" s="56" t="str">
        <x:v>REVIEW READY</x:v>
      </x:c>
      <x:c r="N113" s="54" t="str">
        <x:v>packages/astro-knowledge/data/transits/moon-trine-uranus.json</x:v>
      </x:c>
      <x:c r="O113" s="71" t="str">
        <x:v>86a9a73c9631a8b6e0d4371f0c728b3b960525ef21d54ca109f931c586b4462b</x:v>
      </x:c>
      <x:c r="P113" s="75" t="str">
        <x:v>INCLUDE</x:v>
      </x:c>
      <x:c r="Q113" s="79" t="str"/>
    </x:row>
    <x:row r="114" ht="92" customHeight="1">
      <x:c r="A114" s="54" t="n">
        <x:v>112</x:v>
      </x:c>
      <x:c r="B114" s="54" t="str">
        <x:v>sky.moon.sextile.uranus</x:v>
      </x:c>
      <x:c r="C114" s="54" t="str">
        <x:v>Moon sextile Uranus</x:v>
      </x:c>
      <x:c r="D114" s="54" t="str">
        <x:v>moon</x:v>
      </x:c>
      <x:c r="E114" s="54" t="str">
        <x:v>sextile</x:v>
      </x:c>
      <x:c r="F114" s="54" t="str">
        <x:v>uranus</x:v>
      </x:c>
      <x:c r="G114" s="54" t="str">
        <x:v>A small change in routine gives a household or team breathing room it did not know it had.</x:v>
      </x:c>
      <x:c r="H114" s="54" t="str">
        <x:v>A small change in routine gives a household or team breathing room it did not know it had. Someone tests a different schedule, tool, transport option, or care arrangement before the existing system fails completely. The Moon keeps the experiment tied to daily comfort and safety, while Uranus challenges the rule that made the routine unnecessarily rigid. The sextile opens a way to change the pattern, but the benefit appears only when someone tries it. The adjustment works because it removes a real source of strain without demanding that everyone abandon what still helps.</x:v>
      </x:c>
      <x:c r="I114" s="54" t="str">
        <x:v>owner-refined Sky aspect v10.1 corpus; owner direction, chat 2026-08-01</x:v>
      </x:c>
      <x:c r="J114" s="56" t="str">
        <x:v>A small change in routine gives a household or team breathing room it did not know it had.</x:v>
      </x:c>
      <x:c r="K114" s="56" t="str">
        <x:v>A small change in routine gives a household or team breathing room it did not know it had. Moon sextile Uranus can make a different schedule, tool, transport option, or care arrangement useful before the existing system fails completely. The adjustment works because it removes one actual source of strain without demanding that everything else change too. Try it long enough to see the effect. If the day gets easier, keep the part that helped and stop defending the rule that caused the problem.</x:v>
      </x:c>
      <x:c r="L114" s="56" t="str">
        <x:v>Completed generic pair-aspect fallback. Use only when sign/date context is unavailable.</x:v>
      </x:c>
      <x:c r="M114" s="56" t="str">
        <x:v>REVIEW READY</x:v>
      </x:c>
      <x:c r="N114" s="54" t="str">
        <x:v>packages/astro-knowledge/data/transits/moon-sextile-uranus.json</x:v>
      </x:c>
      <x:c r="O114" s="71" t="str">
        <x:v>7d5d7483ac5fa2c5eed917394cdf0ed7cfeaf6aed3109ed0819af590f9d9cc50</x:v>
      </x:c>
      <x:c r="P114" s="75" t="str">
        <x:v>INCLUDE</x:v>
      </x:c>
      <x:c r="Q114" s="79" t="str"/>
    </x:row>
    <x:row r="115" ht="92" customHeight="1">
      <x:c r="A115" s="54" t="n">
        <x:v>113</x:v>
      </x:c>
      <x:c r="B115" s="54" t="str">
        <x:v>sky.moon.conjunction.venus</x:v>
      </x:c>
      <x:c r="C115" s="54" t="str">
        <x:v>Moon conjunction Venus</x:v>
      </x:c>
      <x:c r="D115" s="54" t="str">
        <x:v>moon</x:v>
      </x:c>
      <x:c r="E115" s="54" t="str">
        <x:v>conjunction</x:v>
      </x:c>
      <x:c r="F115" s="54" t="str">
        <x:v>venus</x:v>
      </x:c>
      <x:c r="G115" s="54" t="str">
        <x:v>An act of care becomes the main social story of the day.</x:v>
      </x:c>
      <x:c r="H115" s="54" t="str">
        <x:v>An act of care becomes the main social story of the day. A meal, gift, fundraiser, family decision, or public gesture gathers people around a shared need and turns affection into something visible. The Moon brings the need for comfort and belonging forward, while Venus shapes the response through money, beauty, attention, and relationship. Under the conjunction, caring and being appreciated become part of the same exchange. The moment may feel warm and generous, but it also reveals who is welcomed easily and who is still expected to make do.</x:v>
      </x:c>
      <x:c r="I115" s="54" t="str">
        <x:v>owner-refined Sky aspect v10.1 corpus; owner direction, chat 2026-08-01</x:v>
      </x:c>
      <x:c r="J115" s="56" t="str">
        <x:v>An act of care becomes the main social story of the day.</x:v>
      </x:c>
      <x:c r="K115" s="56" t="str">
        <x:v>An act of care becomes the main social story of the day. Moon conjunct Venus can make a meal, gift, fundraiser, family decision, or public gesture turn affection into something visible and shared. The care is genuine, but the exchange also reveals who is welcomed easily and who is still expected to make do. Notice who received the support and who quietly provided it. Appreciation is more convincing when the people doing the work are included in the generosity.</x:v>
      </x:c>
      <x:c r="L115" s="56" t="str">
        <x:v>Completed generic pair-aspect fallback. Use only when sign/date context is unavailable.</x:v>
      </x:c>
      <x:c r="M115" s="56" t="str">
        <x:v>REVIEW READY</x:v>
      </x:c>
      <x:c r="N115" s="54" t="str">
        <x:v>packages/astro-knowledge/data/transits/moon-conjunction-venus.json</x:v>
      </x:c>
      <x:c r="O115" s="71" t="str">
        <x:v>67bea54e8fe77bc84df813f77e46428c731cff99c1aaea9cd5c23b182ba2c3d6</x:v>
      </x:c>
      <x:c r="P115" s="75" t="str">
        <x:v>INCLUDE</x:v>
      </x:c>
      <x:c r="Q115" s="79" t="str"/>
    </x:row>
    <x:row r="116" ht="92" customHeight="1">
      <x:c r="A116" s="54" t="n">
        <x:v>114</x:v>
      </x:c>
      <x:c r="B116" s="54" t="str">
        <x:v>sky.moon.opposition.venus</x:v>
      </x:c>
      <x:c r="C116" s="54" t="str">
        <x:v>Moon opposition Venus</x:v>
      </x:c>
      <x:c r="D116" s="54" t="str">
        <x:v>moon</x:v>
      </x:c>
      <x:c r="E116" s="54" t="str">
        <x:v>opposition</x:v>
      </x:c>
      <x:c r="F116" s="54" t="str">
        <x:v>venus</x:v>
      </x:c>
      <x:c r="G116" s="54" t="str">
        <x:v>One side wants to preserve the relationship and the pleasant plan, while the other can no longer ignore what the arrangement costs at home.</x:v>
      </x:c>
      <x:c r="H116" s="54" t="str">
        <x:v>One side wants to preserve the relationship and the pleasant plan, while the other can no longer ignore what the arrangement costs at home. A trip, purchase, party, or recurring favor looks reasonable from the outside but keeps taking time, money, or care from the same person. The Moon makes the private cost impossible to smooth over, while Venus holds the agreement and the wish to avoid disappointing anyone. The opposition forces the pleasant plan to face what it has been costing at home. A compromise may save the plan, but only if affection stops being used as a reason the burden should remain invisible.</x:v>
      </x:c>
      <x:c r="I116" s="54" t="str">
        <x:v>owner-refined Sky aspect v10.1 corpus; owner direction, chat 2026-08-01</x:v>
      </x:c>
      <x:c r="J116" s="56" t="str">
        <x:v>One side wants to preserve the relationship and the pleasant plan while the other can no longer ignore what the arrangement costs at home.</x:v>
      </x:c>
      <x:c r="K116" s="56" t="str">
        <x:v>One side wants to preserve the relationship and the pleasant plan while the other can no longer ignore what the arrangement costs at home. Moon opposite Venus can put affection directly across from the time, money, or care the same person keeps giving up to preserve the plan. A trip, purchase, party, or recurring favor can be enjoyable and still be unfair. Put the private cost into the conversation. A compromise only works if the burden stops being the price of keeping everyone else happy.</x:v>
      </x:c>
      <x:c r="L116" s="56" t="str">
        <x:v>Completed generic pair-aspect fallback. Use only when sign/date context is unavailable.</x:v>
      </x:c>
      <x:c r="M116" s="56" t="str">
        <x:v>REVIEW READY</x:v>
      </x:c>
      <x:c r="N116" s="54" t="str">
        <x:v>packages/astro-knowledge/data/transits/moon-opposition-venus.json</x:v>
      </x:c>
      <x:c r="O116" s="71" t="str">
        <x:v>efdf9b99bd64ba56b5e93c93836f5ae093b1b7c4a9931571015e61a652ec9078</x:v>
      </x:c>
      <x:c r="P116" s="75" t="str">
        <x:v>INCLUDE</x:v>
      </x:c>
      <x:c r="Q116" s="79" t="str"/>
    </x:row>
    <x:row r="117" ht="92" customHeight="1">
      <x:c r="A117" s="54" t="n">
        <x:v>115</x:v>
      </x:c>
      <x:c r="B117" s="54" t="str">
        <x:v>sky.moon.square.venus</x:v>
      </x:c>
      <x:c r="C117" s="54" t="str">
        <x:v>Moon square Venus</x:v>
      </x:c>
      <x:c r="D117" s="54" t="str">
        <x:v>moon</x:v>
      </x:c>
      <x:c r="E117" s="54" t="str">
        <x:v>square</x:v>
      </x:c>
      <x:c r="F117" s="54" t="str">
        <x:v>venus</x:v>
      </x:c>
      <x:c r="G117" s="54" t="str">
        <x:v>A celebration built to look generous leaves the people doing the care work overwhelmed and unpaid.</x:v>
      </x:c>
      <x:c r="H117" s="54" t="str">
        <x:v>A celebration built to look generous leaves the people doing the care work overwhelmed and unpaid. The room is beautiful and the guest list is full, but childcare, cleanup, accessibility, and food restrictions were treated as details someone else would solve. The Moon drags the unpaid labor and daily needs into the center of the event, while Venus protects the atmosphere, appearance, and desire to keep everyone pleased. The square makes the neglected work impossible to hide once comfort starts failing in public. The gathering may still earn compliments, but resentment settles into the people expected to make the experience look effortless.</x:v>
      </x:c>
      <x:c r="I117" s="54" t="str">
        <x:v>owner-refined Sky aspect v10.1 corpus; owner direction, chat 2026-08-01</x:v>
      </x:c>
      <x:c r="J117" s="56" t="str">
        <x:v>A celebration built to look generous leaves the people doing the care work overwhelmed and unpaid.</x:v>
      </x:c>
      <x:c r="K117" s="56" t="str">
        <x:v>A celebration built to look generous leaves the people doing the care work overwhelmed and unpaid. Moon square Venus can make childcare, cleanup, accessibility, food restrictions, and other practical needs impossible to hide once the event starts failing the people expected to make it look effortless. The room can be beautiful and the workload still be unfair. Count the work and money before adding another detail for appearances. If the event depends on invisible work, make that work visible in the plan and the budget.</x:v>
      </x:c>
      <x:c r="L117" s="56" t="str">
        <x:v>Completed generic pair-aspect fallback. Use only when sign/date context is unavailable.</x:v>
      </x:c>
      <x:c r="M117" s="56" t="str">
        <x:v>REVIEW READY</x:v>
      </x:c>
      <x:c r="N117" s="54" t="str">
        <x:v>packages/astro-knowledge/data/transits/moon-square-venus.json</x:v>
      </x:c>
      <x:c r="O117" s="71" t="str">
        <x:v>825def8910c34a8e602a5f22c802c0fc37ee3f59ead9bd08688c4c91c7e2d8dd</x:v>
      </x:c>
      <x:c r="P117" s="75" t="str">
        <x:v>INCLUDE</x:v>
      </x:c>
      <x:c r="Q117" s="79" t="str"/>
    </x:row>
    <x:row r="118" ht="92" customHeight="1">
      <x:c r="A118" s="54" t="n">
        <x:v>116</x:v>
      </x:c>
      <x:c r="B118" s="54" t="str">
        <x:v>sky.moon.trine.venus</x:v>
      </x:c>
      <x:c r="C118" s="54" t="str">
        <x:v>Moon trine Venus</x:v>
      </x:c>
      <x:c r="D118" s="54" t="str">
        <x:v>moon</x:v>
      </x:c>
      <x:c r="E118" s="54" t="str">
        <x:v>trine</x:v>
      </x:c>
      <x:c r="F118" s="54" t="str">
        <x:v>venus</x:v>
      </x:c>
      <x:c r="G118" s="54" t="str">
        <x:v>Care arrives in a form that feels thoughtful because someone remembered the details.</x:v>
      </x:c>
      <x:c r="H118" s="54" t="str">
        <x:v>Care arrives in a form that feels thoughtful because someone remembered the details. Food fits the person's needs, the room is ready, the payment is handled quietly, or a gathering makes space without turning accommodation into a spectacle. The Moon recognizes what brings comfort, while Venus makes the response generous, considerate, and pleasant to receive. Under the trine, affection and practical care move together without creating another obligation. The gesture strengthens the relationship because the person receiving it does not have to perform gratitude for having a basic need understood.</x:v>
      </x:c>
      <x:c r="I118" s="54" t="str">
        <x:v>owner-refined Sky aspect v10.1 corpus; owner direction, chat 2026-08-01</x:v>
      </x:c>
      <x:c r="J118" s="56" t="str">
        <x:v>Care arrives in a form that feels thoughtful because someone remembered the details.</x:v>
      </x:c>
      <x:c r="K118" s="56" t="str">
        <x:v>Care arrives in a form that feels thoughtful because someone remembered the details. Moon trine Venus can make affection show up as the right food, a prepared room, a quietly handled payment, or an accommodation that does not turn someone's need into a spectacle. The gesture feels good because it reduces work instead of creating another obligation. Keep doing the practical thing that made the person more comfortable. Thoughtfulness is usually easier to recognize in what somebody remembered than in what they said.</x:v>
      </x:c>
      <x:c r="L118" s="56" t="str">
        <x:v>Completed generic pair-aspect fallback. Use only when sign/date context is unavailable.</x:v>
      </x:c>
      <x:c r="M118" s="56" t="str">
        <x:v>REVIEW READY</x:v>
      </x:c>
      <x:c r="N118" s="54" t="str">
        <x:v>packages/astro-knowledge/data/transits/moon-trine-venus.json</x:v>
      </x:c>
      <x:c r="O118" s="71" t="str">
        <x:v>aaad7a653622de14bf1614734bd77e984a36f05b2987e7c205d1f10a5a9b4403</x:v>
      </x:c>
      <x:c r="P118" s="75" t="str">
        <x:v>INCLUDE</x:v>
      </x:c>
      <x:c r="Q118" s="79" t="str"/>
    </x:row>
    <x:row r="119" ht="92" customHeight="1">
      <x:c r="A119" s="54" t="n">
        <x:v>117</x:v>
      </x:c>
      <x:c r="B119" s="54" t="str">
        <x:v>sky.moon.sextile.venus</x:v>
      </x:c>
      <x:c r="C119" s="54" t="str">
        <x:v>Moon sextile Venus</x:v>
      </x:c>
      <x:c r="D119" s="54" t="str">
        <x:v>moon</x:v>
      </x:c>
      <x:c r="E119" s="54" t="str">
        <x:v>sextile</x:v>
      </x:c>
      <x:c r="F119" s="54" t="str">
        <x:v>venus</x:v>
      </x:c>
      <x:c r="G119" s="54" t="str">
        <x:v>A small budget adjustment makes a difficult week easier to carry.</x:v>
      </x:c>
      <x:c r="H119" s="54" t="str">
        <x:v>A small budget adjustment makes a difficult week easier to carry. Someone uses a flexible fund, extra meal, open room, or changed reservation to cover a need that was about to fall through. The Moon keeps daily comfort and care on the agenda, while Venus finds the money, room, or gesture that makes the help feel personal. The sextile opens a practical route toward relief, but someone still has to offer what is available. The help matters because it reaches the person before embarrassment or exhaustion forces them to ask twice.</x:v>
      </x:c>
      <x:c r="I119" s="54" t="str">
        <x:v>owner-refined Sky aspect v10.1 corpus; owner direction, chat 2026-08-01</x:v>
      </x:c>
      <x:c r="J119" s="56" t="str">
        <x:v>A small budget adjustment makes a difficult week easier to carry.</x:v>
      </x:c>
      <x:c r="K119" s="56" t="str">
        <x:v>A small budget adjustment makes a difficult week easier to carry. Moon sextile Venus can turn a flexible fund, extra meal, open room, or changed reservation into enough support to keep a need from falling through. The help matters because it arrives before embarrassment or exhaustion forces someone to ask twice. Offer what is actually available. A modest adjustment can be more useful than a bigger gesture that creates another promise nobody can maintain.</x:v>
      </x:c>
      <x:c r="L119" s="56" t="str">
        <x:v>Completed generic pair-aspect fallback. Use only when sign/date context is unavailable.</x:v>
      </x:c>
      <x:c r="M119" s="56" t="str">
        <x:v>REVIEW READY</x:v>
      </x:c>
      <x:c r="N119" s="54" t="str">
        <x:v>packages/astro-knowledge/data/transits/moon-sextile-venus.json</x:v>
      </x:c>
      <x:c r="O119" s="71" t="str">
        <x:v>a1aa1e8a2120de4d05c35f893341925f7a0e0b2247c36d633687b5aa05c3ad6c</x:v>
      </x:c>
      <x:c r="P119" s="75" t="str">
        <x:v>INCLUDE</x:v>
      </x:c>
      <x:c r="Q119" s="79" t="str"/>
    </x:row>
    <x:row r="120" ht="92" customHeight="1">
      <x:c r="A120" s="54" t="n">
        <x:v>118</x:v>
      </x:c>
      <x:c r="B120" s="54" t="str">
        <x:v>sky.neptune.conjunction.pluto</x:v>
      </x:c>
      <x:c r="C120" s="54" t="str">
        <x:v>Neptune conjunction Pluto</x:v>
      </x:c>
      <x:c r="D120" s="54" t="str">
        <x:v>neptune</x:v>
      </x:c>
      <x:c r="E120" s="54" t="str">
        <x:v>conjunction</x:v>
      </x:c>
      <x:c r="F120" s="54" t="str">
        <x:v>pluto</x:v>
      </x:c>
      <x:c r="G120" s="54" t="str">
        <x:v>A collective fear or hope becomes inseparable from the hidden power shaping the response.</x:v>
      </x:c>
      <x:c r="H120" s="54" t="str">
        <x:v>A collective fear or hope becomes inseparable from the hidden power shaping the response. A crisis, spiritual movement, media campaign, or public grief gathers force while money, secrecy, and institutional interests determine which version reaches the audience. Neptune gives the moment emotional and symbolic meaning, while Pluto controls what remains buried and who benefits from the story. Under the conjunction, the vision and the power behind it become part of the same public reality. The response may feel deeply meaningful while making it unusually difficult to question who is directing the feeling and where it leads.</x:v>
      </x:c>
      <x:c r="I120" s="54" t="str">
        <x:v>owner-refined Sky aspect v10.1 corpus; owner direction, chat 2026-08-01</x:v>
      </x:c>
      <x:c r="J120" s="56" t="str">
        <x:v>A collective fear or hope becomes inseparable from the hidden power shaping the response.</x:v>
      </x:c>
      <x:c r="K120" s="56" t="str">
        <x:v>A collective fear or hope becomes inseparable from the hidden power shaping the response. Neptune conjunct Pluto can make a crisis, spiritual movement, media campaign, or public grief feel deeply meaningful while money, secrecy, and institutional interests decide which version reaches the audience. That combination deserves scrutiny precisely because the feeling is sincere. Follow the resources and the decision-making. Ask who benefits from the story, who controls what remains hidden, and what the public is being encouraged not to question.</x:v>
      </x:c>
      <x:c r="L120" s="56" t="str">
        <x:v>Completed generic pair-aspect fallback. Use only when sign/date context is unavailable.</x:v>
      </x:c>
      <x:c r="M120" s="56" t="str">
        <x:v>REVIEW READY</x:v>
      </x:c>
      <x:c r="N120" s="54" t="str">
        <x:v>packages/astro-knowledge/data/transits/neptune-conjunction-pluto.json</x:v>
      </x:c>
      <x:c r="O120" s="71" t="str">
        <x:v>1e35508d9fc5804f97727aaf8d8ed0e501e149956d9782afc5cf12bd3f68b5e8</x:v>
      </x:c>
      <x:c r="P120" s="75" t="str">
        <x:v>INCLUDE</x:v>
      </x:c>
      <x:c r="Q120" s="79" t="str"/>
    </x:row>
    <x:row r="121" ht="92" customHeight="1">
      <x:c r="A121" s="54" t="n">
        <x:v>119</x:v>
      </x:c>
      <x:c r="B121" s="54" t="str">
        <x:v>sky.neptune.opposition.pluto</x:v>
      </x:c>
      <x:c r="C121" s="54" t="str">
        <x:v>Neptune opposition Pluto</x:v>
      </x:c>
      <x:c r="D121" s="54" t="str">
        <x:v>neptune</x:v>
      </x:c>
      <x:c r="E121" s="54" t="str">
        <x:v>opposition</x:v>
      </x:c>
      <x:c r="F121" s="54" t="str">
        <x:v>pluto</x:v>
      </x:c>
      <x:c r="G121" s="54" t="str">
        <x:v>The humanitarian narrative faces the workers and communities documenting what the campaign left out.</x:v>
      </x:c>
      <x:c r="H121" s="54" t="str">
        <x:v>The humanitarian narrative faces the workers and communities documenting what the campaign left out. One side points to awareness, donations, and a public moved to care; the other points to private contracts, controlled access, and cleanup assigned to people with no authority. Neptune holds the moral story, while Pluto reveals the power and material interests operating behind it. The opposition places genuine compassion directly across from the machinery using that compassion as cover. The cause may remain worthy while the institution speaking for it loses the right to control the story.</x:v>
      </x:c>
      <x:c r="I121" s="54" t="str">
        <x:v>owner-refined Sky aspect v10.1 corpus; owner direction, chat 2026-08-01</x:v>
      </x:c>
      <x:c r="J121" s="56" t="str">
        <x:v>The humanitarian narrative faces the workers and communities documenting what the campaign left out.</x:v>
      </x:c>
      <x:c r="K121" s="56" t="str">
        <x:v>The humanitarian narrative faces the workers and communities documenting what the campaign left out. Neptune opposite Pluto can put genuine compassion directly across from private contracts, controlled access, or cleanup assigned to people with no authority. The cause may still be worthy while the institution speaking for it loses credibility. Separate the need from the organization claiming to represent it. Support the people doing the work, and inspect who is controlling the money and the story around them.</x:v>
      </x:c>
      <x:c r="L121" s="56" t="str">
        <x:v>Completed generic pair-aspect fallback. Use only when sign/date context is unavailable.</x:v>
      </x:c>
      <x:c r="M121" s="56" t="str">
        <x:v>REVIEW READY</x:v>
      </x:c>
      <x:c r="N121" s="54" t="str">
        <x:v>packages/astro-knowledge/data/transits/neptune-opposition-pluto.json</x:v>
      </x:c>
      <x:c r="O121" s="71" t="str">
        <x:v>5a655169d7793a5b89e1a7a07916037580e0b634124dd23e9019c8428481555f</x:v>
      </x:c>
      <x:c r="P121" s="75" t="str">
        <x:v>INCLUDE</x:v>
      </x:c>
      <x:c r="Q121" s="79" t="str"/>
    </x:row>
    <x:row r="122" ht="92" customHeight="1">
      <x:c r="A122" s="54" t="n">
        <x:v>120</x:v>
      </x:c>
      <x:c r="B122" s="54" t="str">
        <x:v>sky.neptune.square.pluto</x:v>
      </x:c>
      <x:c r="C122" s="54" t="str">
        <x:v>Neptune square Pluto</x:v>
      </x:c>
      <x:c r="D122" s="54" t="str">
        <x:v>neptune</x:v>
      </x:c>
      <x:c r="E122" s="54" t="str">
        <x:v>square</x:v>
      </x:c>
      <x:c r="F122" s="54" t="str">
        <x:v>pluto</x:v>
      </x:c>
      <x:c r="G122" s="54" t="str">
        <x:v>A public story emphasizes care while hiding the operational mess underneath.</x:v>
      </x:c>
      <x:c r="H122" s="54" t="str">
        <x:v>A public story emphasizes care while hiding the operational mess underneath. The campaign highlights humanitarian ideals as money, cleanup, and work are shifted onto the people with the least control. Neptune shapes the image of compassion, while Pluto holds the information and leverage that keep the system running. The square keeps the idealized story under pressure as the hidden cost becomes impossible to contain. The public may respond with genuine empathy and still grow bitter over the wreckage left for other people to manage.</x:v>
      </x:c>
      <x:c r="I122" s="54" t="str">
        <x:v>owner-refined Sky aspect v10.1 corpus; owner direction, chat 2026-08-01</x:v>
      </x:c>
      <x:c r="J122" s="56" t="str">
        <x:v>A public story emphasizes care while hiding the operational mess underneath.</x:v>
      </x:c>
      <x:c r="K122" s="56" t="str">
        <x:v>A public story emphasizes care while hiding the operational mess underneath. Neptune square Pluto can make an idealized campaign protect the same power structure shifting money, cleanup, and work onto the people with the least control. The more inspiring the story becomes, the easier it is to treat practical scrutiny as cynicism. Follow the contracts, work, and money far enough to see who is carrying the cost. Compassion is more credible when the people cleaning up afterward are included in the story and the budget.</x:v>
      </x:c>
      <x:c r="L122" s="56" t="str">
        <x:v>Completed generic pair-aspect fallback. Use only when sign/date context is unavailable.</x:v>
      </x:c>
      <x:c r="M122" s="56" t="str">
        <x:v>REVIEW READY</x:v>
      </x:c>
      <x:c r="N122" s="54" t="str">
        <x:v>packages/astro-knowledge/data/transits/neptune-square-pluto.json</x:v>
      </x:c>
      <x:c r="O122" s="71" t="str">
        <x:v>ea44bd34a3757e82d82a6eabb5b23a3d68994575dd35bc8d8cd201a0f4c970de</x:v>
      </x:c>
      <x:c r="P122" s="75" t="str">
        <x:v>INCLUDE</x:v>
      </x:c>
      <x:c r="Q122" s="79" t="str"/>
    </x:row>
    <x:row r="123" ht="92" customHeight="1">
      <x:c r="A123" s="54" t="n">
        <x:v>121</x:v>
      </x:c>
      <x:c r="B123" s="54" t="str">
        <x:v>sky.neptune.trine.pluto</x:v>
      </x:c>
      <x:c r="C123" s="54" t="str">
        <x:v>Neptune trine Pluto</x:v>
      </x:c>
      <x:c r="D123" s="54" t="str">
        <x:v>neptune</x:v>
      </x:c>
      <x:c r="E123" s="54" t="str">
        <x:v>trine</x:v>
      </x:c>
      <x:c r="F123" s="54" t="str">
        <x:v>pluto</x:v>
      </x:c>
      <x:c r="G123" s="54" t="str">
        <x:v>A work of art, testimony, or sustained investigation brings hidden suffering into public view without reducing it to a spectacle.</x:v>
      </x:c>
      <x:c r="H123" s="54" t="str">
        <x:v>A work of art, testimony, or sustained investigation brings hidden suffering into public view without reducing it to a spectacle. The story names the systems, money, and private decisions shaping the harm while preserving the humanity of the people living through it. Neptune carries empathy and imagination, while Pluto exposes control, secrecy, and the deeper structure underneath the visible crisis. Under the trine, emotional truth and difficult evidence reinforce each other without softening what happened. The public response gains depth because compassion is connected to the power that made the harm possible.</x:v>
      </x:c>
      <x:c r="I123" s="54" t="str">
        <x:v>owner-refined Sky aspect v10.1 corpus; owner direction, chat 2026-08-01</x:v>
      </x:c>
      <x:c r="J123" s="56" t="str">
        <x:v>A work of art, testimony, or sustained investigation brings hidden suffering into public view without reducing it to a spectacle.</x:v>
      </x:c>
      <x:c r="K123" s="56" t="str">
        <x:v>A work of art, testimony, or sustained investigation brings hidden suffering into public view without reducing it to a spectacle. Neptune trine Pluto can let emotional truth and difficult evidence reinforce each other, so the story names the systems, money, and private decisions shaping the harm while preserving the humanity of the people living through it. That depth is the point. Let the public response grow around the facts, not around a simplified symbol that makes the pain easier to consume.</x:v>
      </x:c>
      <x:c r="L123" s="56" t="str">
        <x:v>Completed generic pair-aspect fallback. Use only when sign/date context is unavailable.</x:v>
      </x:c>
      <x:c r="M123" s="56" t="str">
        <x:v>REVIEW READY</x:v>
      </x:c>
      <x:c r="N123" s="54" t="str">
        <x:v>packages/astro-knowledge/data/transits/neptune-trine-pluto.json</x:v>
      </x:c>
      <x:c r="O123" s="71" t="str">
        <x:v>4a5d64143ff6cbbfb685493c453e187f1773c1dff3314584cbc67b81bcfa9a73</x:v>
      </x:c>
      <x:c r="P123" s="75" t="str">
        <x:v>INCLUDE</x:v>
      </x:c>
      <x:c r="Q123" s="79" t="str"/>
    </x:row>
    <x:row r="124" ht="92" customHeight="1">
      <x:c r="A124" s="54" t="n">
        <x:v>122</x:v>
      </x:c>
      <x:c r="B124" s="54" t="str">
        <x:v>sky.neptune.sextile.pluto</x:v>
      </x:c>
      <x:c r="C124" s="54" t="str">
        <x:v>Neptune sextile Pluto</x:v>
      </x:c>
      <x:c r="D124" s="54" t="str">
        <x:v>neptune</x:v>
      </x:c>
      <x:c r="E124" s="54" t="str">
        <x:v>sextile</x:v>
      </x:c>
      <x:c r="F124" s="54" t="str">
        <x:v>pluto</x:v>
      </x:c>
      <x:c r="G124" s="54" t="str">
        <x:v>A compelling public story creates an opening to investigate the power hidden underneath the crisis.</x:v>
      </x:c>
      <x:c r="H124" s="54" t="str">
        <x:v>A compelling public story creates an opening to investigate the power hidden underneath the crisis. Someone follows the donations, contracts, images, or private decisions and gives the audience a way to connect compassion with accountability. Neptune carries the grief and moral urgency, while Pluto reveals who controls the resources and consequences behind the response. The sextile opens a route from empathy to deeper scrutiny, but someone still has to use it before attention moves on. The story becomes harder to exploit because care is linked to the record of who benefited and who carried the loss.</x:v>
      </x:c>
      <x:c r="I124" s="54" t="str">
        <x:v>owner-refined Sky aspect v10.1 corpus; owner direction, chat 2026-08-01</x:v>
      </x:c>
      <x:c r="J124" s="56" t="str">
        <x:v>A compelling public story creates an opening to investigate the power hidden underneath the crisis.</x:v>
      </x:c>
      <x:c r="K124" s="56" t="str">
        <x:v>A compelling public story creates an opening to investigate the power hidden underneath the crisis. Neptune sextile Pluto can turn empathy into deeper scrutiny if someone follows the donations, contracts, images, or private decisions before attention moves on. The story becomes harder to exploit once care is linked to a record of who benefited and who carried the loss. Use the attention to ask the question the campaign would rather leave emotional. Where did the money go, and who had the authority to decide?</x:v>
      </x:c>
      <x:c r="L124" s="56" t="str">
        <x:v>Completed generic pair-aspect fallback. Use only when sign/date context is unavailable.</x:v>
      </x:c>
      <x:c r="M124" s="56" t="str">
        <x:v>REVIEW READY</x:v>
      </x:c>
      <x:c r="N124" s="54" t="str">
        <x:v>packages/astro-knowledge/data/transits/neptune-sextile-pluto.json</x:v>
      </x:c>
      <x:c r="O124" s="71" t="str">
        <x:v>2402b5fde477dc98885f49ed4d1ab6e3a220d9c78dfefc2f84931b92a2c8380b</x:v>
      </x:c>
      <x:c r="P124" s="75" t="str">
        <x:v>INCLUDE</x:v>
      </x:c>
      <x:c r="Q124" s="79" t="str"/>
    </x:row>
    <x:row r="125" ht="92" customHeight="1">
      <x:c r="A125" s="54" t="n">
        <x:v>123</x:v>
      </x:c>
      <x:c r="B125" s="54" t="str">
        <x:v>sky.saturn.square.lilith</x:v>
      </x:c>
      <x:c r="C125" s="54" t="str">
        <x:v>Saturn square Lilith</x:v>
      </x:c>
      <x:c r="D125" s="54" t="str">
        <x:v>saturn</x:v>
      </x:c>
      <x:c r="E125" s="54" t="str">
        <x:v>square</x:v>
      </x:c>
      <x:c r="F125" s="54" t="str">
        <x:v>lilith</x:v>
      </x:c>
      <x:c r="G125" s="54" t="str">
        <x:v>patience runs thin for rules, expectations, or responsibilities that have been demanding too much for too long.</x:v>
      </x:c>
      <x:c r="H125" s="54" t="str">
        <x:v>patience runs thin for rules, expectations, or responsibilities that have been demanding too much for too long. Shortcuts stop working. Pressure finds the weak point in a plan, agreement, or system and makes it harder to pretend the problem is manageable. What still works after the pressure is probably worth keeping. What buckles was already asking people to carry more than their share.</x:v>
      </x:c>
      <x:c r="I125" s="54" t="str">
        <x:v>owner-authored hybrid final approved 2026-08-11; packages/astro-knowledge/review/sky-aspect-owner-refinements-2026-08-11/sky-aspect-owner-refinements-payloads.json#sky.saturn.square.lilith</x:v>
      </x:c>
      <x:c r="J125" s="56" t="str">
        <x:v>Patience runs thin for rules, expectations, or responsibilities that have demanded too much for too long.</x:v>
      </x:c>
      <x:c r="K125" s="56" t="str">
        <x:v>Patience runs thin for rules, expectations, or responsibilities that have demanded too much for too long. Saturn square Lilith can make the weak point in an agreement or system impossible to keep covering with endurance. Shortcuts stop working, and the person who has been absorbing the extra burden may finally refuse to do it again. Do not confuse that refusal with irresponsibility. Name the demand that has become unsustainable and renegotiate who carries it before the whole arrangement breaks under the same pressure.</x:v>
      </x:c>
      <x:c r="L125" s="56" t="str">
        <x:v>Completed generic pair-aspect fallback. Use only when sign/date context is unavailable.</x:v>
      </x:c>
      <x:c r="M125" s="56" t="str">
        <x:v>REVIEW READY</x:v>
      </x:c>
      <x:c r="N125" s="54" t="str">
        <x:v>packages/astro-knowledge/data/transits/saturn-square-lilith.json</x:v>
      </x:c>
      <x:c r="O125" s="71" t="str">
        <x:v>b1f9303ba04aecb374e5f2e4682d404d38a491cfaef488b046bbe0763b5285ac</x:v>
      </x:c>
      <x:c r="P125" s="75" t="str">
        <x:v>INCLUDE</x:v>
      </x:c>
      <x:c r="Q125" s="79" t="str"/>
    </x:row>
    <x:row r="126" ht="92" customHeight="1">
      <x:c r="A126" s="54" t="n">
        <x:v>124</x:v>
      </x:c>
      <x:c r="B126" s="54" t="str">
        <x:v>sky.saturn.conjunction.neptune</x:v>
      </x:c>
      <x:c r="C126" s="54" t="str">
        <x:v>Saturn conjunction Neptune</x:v>
      </x:c>
      <x:c r="D126" s="54" t="str">
        <x:v>saturn</x:v>
      </x:c>
      <x:c r="E126" s="54" t="str">
        <x:v>conjunction</x:v>
      </x:c>
      <x:c r="F126" s="54" t="str">
        <x:v>neptune</x:v>
      </x:c>
      <x:c r="G126" s="54" t="str">
        <x:v>A dream is placed inside a structure that will determine whether it can survive ordinary life.</x:v>
      </x:c>
      <x:c r="H126" s="54" t="str">
        <x:v>A dream is placed inside a structure that will determine whether it can survive ordinary life. A nonprofit, care program, creative institution, spiritual community, or recovery plan receives rules, funding limits, leadership, and formal responsibility all at once. Saturn gives the vision a container and consequence, while Neptune keeps the purpose larger than the administration built around it. Under the conjunction, the ideal and the institution become difficult to separate. The structure may protect the work while also revealing how quickly compassion changes when one office controls who qualifies for it.</x:v>
      </x:c>
      <x:c r="I126" s="54" t="str">
        <x:v>owner-refined Sky aspect v10.1 corpus; owner direction, chat 2026-08-01</x:v>
      </x:c>
      <x:c r="J126" s="56" t="str">
        <x:v>A dream is placed inside a structure that will determine if it can survive ordinary life.</x:v>
      </x:c>
      <x:c r="K126" s="56" t="str">
        <x:v>A dream is placed inside a structure that will determine if it can survive ordinary life. Saturn conjunct Neptune can make a care program, creative institution, spiritual community, or recovery plan receive rules, funding limits, leadership, and formal responsibility all at once. Structure can protect the purpose and distort it when one office starts deciding who deserves access to the care. Keep the mission close to the paperwork. Review the eligibility, budget, and decision-making before administration quietly becomes the thing the project serves.</x:v>
      </x:c>
      <x:c r="L126" s="56" t="str">
        <x:v>Completed generic pair-aspect fallback. Use only when sign/date context is unavailable.</x:v>
      </x:c>
      <x:c r="M126" s="56" t="str">
        <x:v>REVIEW READY</x:v>
      </x:c>
      <x:c r="N126" s="54" t="str">
        <x:v>packages/astro-knowledge/data/transits/saturn-conjunction-neptune.json</x:v>
      </x:c>
      <x:c r="O126" s="71" t="str">
        <x:v>1460817c639bac3515d5e3187d2791c519a57c4a1a626d371ff6cee8d68bbee6</x:v>
      </x:c>
      <x:c r="P126" s="75" t="str">
        <x:v>INCLUDE</x:v>
      </x:c>
      <x:c r="Q126" s="79" t="str"/>
    </x:row>
    <x:row r="127" ht="92" customHeight="1">
      <x:c r="A127" s="54" t="n">
        <x:v>125</x:v>
      </x:c>
      <x:c r="B127" s="54" t="str">
        <x:v>sky.saturn.opposition.neptune</x:v>
      </x:c>
      <x:c r="C127" s="54" t="str">
        <x:v>Saturn opposition Neptune</x:v>
      </x:c>
      <x:c r="D127" s="54" t="str">
        <x:v>saturn</x:v>
      </x:c>
      <x:c r="E127" s="54" t="str">
        <x:v>opposition</x:v>
      </x:c>
      <x:c r="F127" s="54" t="str">
        <x:v>neptune</x:v>
      </x:c>
      <x:c r="G127" s="54" t="str">
        <x:v>The institution responsible for enforcing the limit faces the people who believed its promise of care.</x:v>
      </x:c>
      <x:c r="H127" s="54" t="str">
        <x:v>The institution responsible for enforcing the limit faces the people who believed its promise of care. Officials point to law, budget, eligibility, and what can be documented; recipients and workers point to need, prior assurances, and the human cost of withdrawing support. Saturn holds the formal boundary, while Neptune gives the unfulfilled ideal a voice that cannot be reduced to a failed application. The opposition places institutional reality across from the compassionate story used to build trust. The program may survive the review, but its credibility does not if care only existed while nobody was asking what it cost.</x:v>
      </x:c>
      <x:c r="I127" s="54" t="str">
        <x:v>owner-refined Sky aspect v10.1 corpus; owner direction, chat 2026-08-01</x:v>
      </x:c>
      <x:c r="J127" s="56" t="str">
        <x:v>The institution responsible for enforcing the limit faces the people who believed its promise of care.</x:v>
      </x:c>
      <x:c r="K127" s="56" t="str">
        <x:v>The institution responsible for enforcing the limit faces the people who believed its promise of care. Saturn opposite Neptune can put law, budget, eligibility, and documentation directly across from prior assurances and the human cost of withdrawing support. A program can survive the review and still lose credibility if compassion only existed while nobody was asking what it cost. Compare the promise with the actual terms people are being held to now. If they changed, say so plainly instead of hiding the reversal inside policy language.</x:v>
      </x:c>
      <x:c r="L127" s="56" t="str">
        <x:v>Completed generic pair-aspect fallback. Use only when sign/date context is unavailable.</x:v>
      </x:c>
      <x:c r="M127" s="56" t="str">
        <x:v>REVIEW READY</x:v>
      </x:c>
      <x:c r="N127" s="54" t="str">
        <x:v>packages/astro-knowledge/data/transits/saturn-opposition-neptune.json</x:v>
      </x:c>
      <x:c r="O127" s="71" t="str">
        <x:v>f38f780b67c01e48a97d8f6e407821e2295cb02c8b4a4c599ef6af7cbfcfa6a5</x:v>
      </x:c>
      <x:c r="P127" s="75" t="str">
        <x:v>INCLUDE</x:v>
      </x:c>
      <x:c r="Q127" s="79" t="str"/>
    </x:row>
    <x:row r="128" ht="92" customHeight="1">
      <x:c r="A128" s="54" t="n">
        <x:v>126</x:v>
      </x:c>
      <x:c r="B128" s="54" t="str">
        <x:v>sky.saturn.square.neptune</x:v>
      </x:c>
      <x:c r="C128" s="54" t="str">
        <x:v>Saturn square Neptune</x:v>
      </x:c>
      <x:c r="D128" s="54" t="str">
        <x:v>saturn</x:v>
      </x:c>
      <x:c r="E128" s="54" t="str">
        <x:v>square</x:v>
      </x:c>
      <x:c r="F128" s="54" t="str">
        <x:v>neptune</x:v>
      </x:c>
      <x:c r="G128" s="54" t="str">
        <x:v>A sweeping promise hits a hard wall of practical limits.</x:v>
      </x:c>
      <x:c r="H128" s="54" t="str">
        <x:v>A sweeping promise hits a hard wall of practical limits. A community project unravels when the budget, legal backing, or staffing fails to support what was promised. Saturn demands accountability, while Neptune exposes where wishful thinking covered the absence of support. The square keeps pressing on the gap until inspiration can no longer substitute for a plan. The shutdown may be swift, but the people closest to the work are still left cleaning up the wreckage and absorbing the loss.</x:v>
      </x:c>
      <x:c r="I128" s="54" t="str">
        <x:v>owner-refined Sky aspect v10.1 corpus; owner direction, chat 2026-08-01</x:v>
      </x:c>
      <x:c r="J128" s="56" t="str">
        <x:v>A sweeping promise hits a hard wall of practical limits.</x:v>
      </x:c>
      <x:c r="K128" s="56" t="str">
        <x:v>A sweeping promise hits a hard wall of practical limits. Saturn square Neptune can make a community project, care plan, or creative institution keep running on belief until the budget, legal backing, or staffing finally refuses to cooperate. Inspiration cannot cover a missing structure forever. The shutdown may be quick, but the cleanup is not. Name what failed before replacing the dream with another promise. Fix the funding, authority, or staffing gap that made delivery impossible in the first place.</x:v>
      </x:c>
      <x:c r="L128" s="56" t="str">
        <x:v>Completed generic pair-aspect fallback. Use only when sign/date context is unavailable.</x:v>
      </x:c>
      <x:c r="M128" s="56" t="str">
        <x:v>REVIEW READY</x:v>
      </x:c>
      <x:c r="N128" s="54" t="str">
        <x:v>packages/astro-knowledge/data/transits/saturn-square-neptune.json</x:v>
      </x:c>
      <x:c r="O128" s="71" t="str">
        <x:v>9fffffae75b972c8c11dd123b76642b46831634eaf5746cf19150610cca6059e</x:v>
      </x:c>
      <x:c r="P128" s="75" t="str">
        <x:v>INCLUDE</x:v>
      </x:c>
      <x:c r="Q128" s="79" t="str"/>
    </x:row>
    <x:row r="129" ht="92" customHeight="1">
      <x:c r="A129" s="54" t="n">
        <x:v>127</x:v>
      </x:c>
      <x:c r="B129" s="54" t="str">
        <x:v>sky.saturn.trine.neptune</x:v>
      </x:c>
      <x:c r="C129" s="54" t="str">
        <x:v>Saturn trine Neptune</x:v>
      </x:c>
      <x:c r="D129" s="54" t="str">
        <x:v>saturn</x:v>
      </x:c>
      <x:c r="E129" s="54" t="str">
        <x:v>trine</x:v>
      </x:c>
      <x:c r="F129" s="54" t="str">
        <x:v>neptune</x:v>
      </x:c>
      <x:c r="G129" s="54" t="str">
        <x:v>An institution creates a durable response to a need it once handled through temporary goodwill.</x:v>
      </x:c>
      <x:c r="H129" s="54" t="str">
        <x:v>An institution creates a durable response to a need it once handled through temporary goodwill. Long-term funding, trained staff, private space, and clear access replace the patchwork of volunteers and emergency exceptions. Saturn gives the response structure and continuity, while Neptune keeps compassion, grief, and recovery inside the reason for that structure. Under the trine, responsibility supports the ideal without reducing it to paperwork. The help becomes dependable because the institution accepts that care requires a budget long after the emotional moment passes.</x:v>
      </x:c>
      <x:c r="I129" s="54" t="str">
        <x:v>owner-refined Sky aspect v10.1 corpus; owner direction, chat 2026-08-01</x:v>
      </x:c>
      <x:c r="J129" s="56" t="str">
        <x:v>An institution creates a durable response to a need it once handled through temporary goodwill.</x:v>
      </x:c>
      <x:c r="K129" s="56" t="str">
        <x:v>An institution creates a durable response to a need it once handled through temporary goodwill. Saturn trine Neptune can turn volunteers and emergency exceptions into long-term funding, trained staff, private space, and clear access without losing sight of the human reason the program exists. Care becomes dependable because someone accepted that compassion needs a budget after the emotional moment passes. Protect that continuity. Build the plan so the service still works on an ordinary Tuesday when nobody is watching.</x:v>
      </x:c>
      <x:c r="L129" s="56" t="str">
        <x:v>Completed generic pair-aspect fallback. Use only when sign/date context is unavailable.</x:v>
      </x:c>
      <x:c r="M129" s="56" t="str">
        <x:v>REVIEW READY</x:v>
      </x:c>
      <x:c r="N129" s="54" t="str">
        <x:v>packages/astro-knowledge/data/transits/saturn-trine-neptune.json</x:v>
      </x:c>
      <x:c r="O129" s="71" t="str">
        <x:v>30b9eb5f35aa709eb725ef85799f95b9baaff41d6ef8eb4dbf9ca801dec3b362</x:v>
      </x:c>
      <x:c r="P129" s="75" t="str">
        <x:v>INCLUDE</x:v>
      </x:c>
      <x:c r="Q129" s="79" t="str"/>
    </x:row>
    <x:row r="130" ht="92" customHeight="1">
      <x:c r="A130" s="54" t="n">
        <x:v>128</x:v>
      </x:c>
      <x:c r="B130" s="54" t="str">
        <x:v>sky.saturn.sextile.neptune</x:v>
      </x:c>
      <x:c r="C130" s="54" t="str">
        <x:v>Saturn sextile Neptune</x:v>
      </x:c>
      <x:c r="D130" s="54" t="str">
        <x:v>saturn</x:v>
      </x:c>
      <x:c r="E130" s="54" t="str">
        <x:v>sextile</x:v>
      </x:c>
      <x:c r="F130" s="54" t="str">
        <x:v>neptune</x:v>
      </x:c>
      <x:c r="G130" s="54" t="str">
        <x:v>A broad promise receives enough structure to support one real piece of help.</x:v>
      </x:c>
      <x:c r="H130" s="54" t="str">
        <x:v>A broad promise receives enough structure to support one real piece of help. Someone defines the budget, eligibility, staffing, or deadline required to turn compassion into a shelter bed, recovery program, arts fund, or protected leave policy. Saturn gives the vision limits and responsibility, while Neptune keeps the human need from disappearing inside procedure. The sextile opens a route from intention to delivery, but someone still has to build the container around the promise. The program gains credibility because care is attached to a person, office, and resource that actually exist.</x:v>
      </x:c>
      <x:c r="I130" s="54" t="str">
        <x:v>owner-refined Sky aspect v10.1 corpus; owner direction, chat 2026-08-01</x:v>
      </x:c>
      <x:c r="J130" s="56" t="str">
        <x:v>A broad promise receives enough structure to support one practical piece of help.</x:v>
      </x:c>
      <x:c r="K130" s="56" t="str">
        <x:v>A broad promise receives enough structure to support one practical piece of help. Saturn sextile Neptune can turn compassion into a shelter bed, recovery program, arts fund, or protected leave policy once the budget, eligibility, staffing, and deadline are defined. The whole ideal does not need to fit inside one program. It needs a named owner and funding or staff attached to it. Build the part that can be delivered now, then let the larger vision grow from something people can already access.</x:v>
      </x:c>
      <x:c r="L130" s="56" t="str">
        <x:v>Completed generic pair-aspect fallback. Use only when sign/date context is unavailable.</x:v>
      </x:c>
      <x:c r="M130" s="56" t="str">
        <x:v>REVIEW READY</x:v>
      </x:c>
      <x:c r="N130" s="54" t="str">
        <x:v>packages/astro-knowledge/data/transits/saturn-sextile-neptune.json</x:v>
      </x:c>
      <x:c r="O130" s="71" t="str">
        <x:v>09ccf09310493b813277d9cbc296cf8ce33c9d0b6905ea12077f28ea5c4ecac1</x:v>
      </x:c>
      <x:c r="P130" s="75" t="str">
        <x:v>INCLUDE</x:v>
      </x:c>
      <x:c r="Q130" s="79" t="str"/>
    </x:row>
    <x:row r="131" ht="92" customHeight="1">
      <x:c r="A131" s="54" t="n">
        <x:v>129</x:v>
      </x:c>
      <x:c r="B131" s="54" t="str">
        <x:v>sky.saturn.conjunction.pluto</x:v>
      </x:c>
      <x:c r="C131" s="54" t="str">
        <x:v>Saturn conjunction Pluto</x:v>
      </x:c>
      <x:c r="D131" s="54" t="str">
        <x:v>saturn</x:v>
      </x:c>
      <x:c r="E131" s="54" t="str">
        <x:v>conjunction</x:v>
      </x:c>
      <x:c r="F131" s="54" t="str">
        <x:v>pluto</x:v>
      </x:c>
      <x:c r="G131" s="54" t="str">
        <x:v>A hard restructuring concentrates authority around survival, control, and consequences.</x:v>
      </x:c>
      <x:c r="H131" s="54" t="str">
        <x:v>A hard restructuring concentrates authority around survival, control, and consequences. Budgets are cut, departments close, contracts tighten, or emergency powers expand as leadership argues that ordinary rules can no longer protect the institution. Saturn makes the restrictions official, while Pluto deepens the pressure and the cost of refusing them. Under the conjunction, structural limits and concentrated power become one response to crisis. The institution may emerge leaner or more controlled while everyone inside it learns how much freedom disappeared under the language of necessity.</x:v>
      </x:c>
      <x:c r="I131" s="54" t="str">
        <x:v>owner-refined Sky aspect v10.1 corpus; owner direction, chat 2026-08-01</x:v>
      </x:c>
      <x:c r="J131" s="56" t="str">
        <x:v>A hard restructuring concentrates authority around survival, control, and consequences.</x:v>
      </x:c>
      <x:c r="K131" s="56" t="str">
        <x:v>A hard restructuring concentrates authority around survival, control, and consequences. Saturn conjunct Pluto can make budget cuts, department closures, tighter contracts, or emergency powers feel unavoidable while the same response also reduces freedom and review. Necessity is powerful language because it can end an argument before the terms are examined. Ask what control is being made permanent in the name of the crisis. If an emergency measure changes who can decide, put a date and review process on that power before it becomes ordinary.</x:v>
      </x:c>
      <x:c r="L131" s="56" t="str">
        <x:v>Completed generic pair-aspect fallback. Use only when sign/date context is unavailable.</x:v>
      </x:c>
      <x:c r="M131" s="56" t="str">
        <x:v>REVIEW READY</x:v>
      </x:c>
      <x:c r="N131" s="54" t="str">
        <x:v>packages/astro-knowledge/data/transits/saturn-conjunction-pluto.json</x:v>
      </x:c>
      <x:c r="O131" s="71" t="str">
        <x:v>4f9a3f5889675cf3ca95b853f06ea517a2ed09740663a164f5b9037dbdc01031</x:v>
      </x:c>
      <x:c r="P131" s="75" t="str">
        <x:v>INCLUDE</x:v>
      </x:c>
      <x:c r="Q131" s="79" t="str"/>
    </x:row>
    <x:row r="132" ht="92" customHeight="1">
      <x:c r="A132" s="54" t="n">
        <x:v>130</x:v>
      </x:c>
      <x:c r="B132" s="54" t="str">
        <x:v>sky.saturn.opposition.pluto</x:v>
      </x:c>
      <x:c r="C132" s="54" t="str">
        <x:v>Saturn opposition Pluto</x:v>
      </x:c>
      <x:c r="D132" s="54" t="str">
        <x:v>saturn</x:v>
      </x:c>
      <x:c r="E132" s="54" t="str">
        <x:v>opposition</x:v>
      </x:c>
      <x:c r="F132" s="54" t="str">
        <x:v>pluto</x:v>
      </x:c>
      <x:c r="G132" s="54" t="str">
        <x:v>The official responsible for enforcing the rules faces the person or institution powerful enough to operate around them.</x:v>
      </x:c>
      <x:c r="H132" s="54" t="str">
        <x:v>The official responsible for enforcing the rules faces the person or institution powerful enough to operate around them. One side points to law, procedure, and public duty; the other controls the money, access, or private consequences that make enforcement risky. Saturn holds formal authority, while Pluto reveals the leverage capable of hollowing that authority out. The opposition places the rule directly across from the power that has been exempt from it. The confrontation may produce a new limit, but it also shows whether the institution can govern anyone strong enough to resist.</x:v>
      </x:c>
      <x:c r="I132" s="54" t="str">
        <x:v>owner-refined Sky aspect v10.1 corpus; owner direction, chat 2026-08-01</x:v>
      </x:c>
      <x:c r="J132" s="56" t="str">
        <x:v>The official responsible for enforcing the rules faces the person or institution powerful enough to operate around them.</x:v>
      </x:c>
      <x:c r="K132" s="56" t="str">
        <x:v>The official responsible for enforcing the rules faces the person or institution powerful enough to operate around them. Saturn opposite Pluto can expose the difference between formal authority and actual leverage, especially when money, access, or private consequences make enforcement risky. A rule that only applies to people without power is not much of a rule. Put the exemption on the record. The confrontation matters if it produces a limit that applies to the office or institution, not only to the person easiest to punish.</x:v>
      </x:c>
      <x:c r="L132" s="56" t="str">
        <x:v>Completed generic pair-aspect fallback. Use only when sign/date context is unavailable.</x:v>
      </x:c>
      <x:c r="M132" s="56" t="str">
        <x:v>REVIEW READY</x:v>
      </x:c>
      <x:c r="N132" s="54" t="str">
        <x:v>packages/astro-knowledge/data/transits/saturn-opposition-pluto.json</x:v>
      </x:c>
      <x:c r="O132" s="71" t="str">
        <x:v>4ee45ebdf2d91ad5db5d24b010a2de523d47e807c2e50dbbcc78c30938c393fa</x:v>
      </x:c>
      <x:c r="P132" s="75" t="str">
        <x:v>INCLUDE</x:v>
      </x:c>
      <x:c r="Q132" s="79" t="str"/>
    </x:row>
    <x:row r="133" ht="92" customHeight="1">
      <x:c r="A133" s="54" t="n">
        <x:v>131</x:v>
      </x:c>
      <x:c r="B133" s="54" t="str">
        <x:v>sky.saturn.square.pluto</x:v>
      </x:c>
      <x:c r="C133" s="54" t="str">
        <x:v>Saturn square Pluto</x:v>
      </x:c>
      <x:c r="D133" s="54" t="str">
        <x:v>saturn</x:v>
      </x:c>
      <x:c r="E133" s="54" t="str">
        <x:v>square</x:v>
      </x:c>
      <x:c r="F133" s="54" t="str">
        <x:v>pluto</x:v>
      </x:c>
      <x:c r="G133" s="54" t="str">
        <x:v>Two centers of authority refuse to give up the rule, money, or access that makes their power real.</x:v>
      </x:c>
      <x:c r="H133" s="54" t="str">
        <x:v>Two centers of authority refuse to give up the rule, money, or access that makes their power real. Deadlines tighten, records disappear, and ordinary work becomes leverage as each side tries to force the other into accepting its terms. Saturn protects the established chain of command, while Pluto uses deeper control over resources and consequence to challenge it. The square turns institutional pressure into a prolonged contest over which authority can make the other side yield. One structure may survive, but the people underneath it carry the cost of every withheld decision.</x:v>
      </x:c>
      <x:c r="I133" s="54" t="str">
        <x:v>owner-refined Sky aspect v10.1 corpus; owner direction, chat 2026-08-01</x:v>
      </x:c>
      <x:c r="J133" s="56" t="str">
        <x:v>Two centers of authority refuse to give up the rule, money, or access that makes them powerful.</x:v>
      </x:c>
      <x:c r="K133" s="56" t="str">
        <x:v>Two centers of authority refuse to give up the rule, money, or access that makes them powerful. Saturn square Pluto can turn deadlines, records, and ordinary work into leverage while each side tries to force the other into accepting its terms. The people underneath the conflict pay for every withheld decision. Stop treating delay as neutral. Identify which decision is being held hostage, who has the authority to release it, and what consequence exists if neither side moves.</x:v>
      </x:c>
      <x:c r="L133" s="56" t="str">
        <x:v>Completed generic pair-aspect fallback. Use only when sign/date context is unavailable.</x:v>
      </x:c>
      <x:c r="M133" s="56" t="str">
        <x:v>REVIEW READY</x:v>
      </x:c>
      <x:c r="N133" s="54" t="str">
        <x:v>packages/astro-knowledge/data/transits/saturn-square-pluto.json</x:v>
      </x:c>
      <x:c r="O133" s="71" t="str">
        <x:v>fe2ee7569d860d98a4252df34cf0e8fca11b789e3a2dc18aad5ae8f2c6d7ff79</x:v>
      </x:c>
      <x:c r="P133" s="75" t="str">
        <x:v>INCLUDE</x:v>
      </x:c>
      <x:c r="Q133" s="79" t="str"/>
    </x:row>
    <x:row r="134" ht="92" customHeight="1">
      <x:c r="A134" s="54" t="n">
        <x:v>132</x:v>
      </x:c>
      <x:c r="B134" s="54" t="str">
        <x:v>sky.saturn.trine.pluto</x:v>
      </x:c>
      <x:c r="C134" s="54" t="str">
        <x:v>Saturn trine Pluto</x:v>
      </x:c>
      <x:c r="D134" s="54" t="str">
        <x:v>saturn</x:v>
      </x:c>
      <x:c r="E134" s="54" t="str">
        <x:v>trine</x:v>
      </x:c>
      <x:c r="F134" s="54" t="str">
        <x:v>pluto</x:v>
      </x:c>
      <x:c r="G134" s="54" t="str">
        <x:v>An institution rebuilds its authority after opening the records and changing who can exercise power without review.</x:v>
      </x:c>
      <x:c r="H134" s="54" t="str">
        <x:v>An institution rebuilds its authority after opening the records and changing who can exercise power without review. Contracts, reporting lines, budgets, and consequences are rewritten so the reform survives beyond the leader who announced it. Saturn gives the change a durable structure, while Pluto reaches the deeper control that made the original failure possible. Under the trine, discipline and transformation reinforce each other without settling for a symbolic resignation. Trust can begin to return because the new limit applies to the office, not only to the person who was caught.</x:v>
      </x:c>
      <x:c r="I134" s="54" t="str">
        <x:v>owner-refined Sky aspect v10.1 corpus; owner direction, chat 2026-08-01</x:v>
      </x:c>
      <x:c r="J134" s="56" t="str">
        <x:v>An institution rebuilds its authority after opening the records and changing who can exercise power without review.</x:v>
      </x:c>
      <x:c r="K134" s="56" t="str">
        <x:v>An institution rebuilds its authority after opening the records and changing who can exercise power without review. Saturn trine Pluto can make reform reach contracts, reporting lines, budgets, and consequences instead of ending with a symbolic resignation. The change lasts because the structure stops depending on one good leader to behave well. Put the new limits where the old abuse was possible. Trust returns more slowly than policy, but it has a chance when the rule changes for the office itself.</x:v>
      </x:c>
      <x:c r="L134" s="56" t="str">
        <x:v>Completed generic pair-aspect fallback. Use only when sign/date context is unavailable.</x:v>
      </x:c>
      <x:c r="M134" s="56" t="str">
        <x:v>REVIEW READY</x:v>
      </x:c>
      <x:c r="N134" s="54" t="str">
        <x:v>packages/astro-knowledge/data/transits/saturn-trine-pluto.json</x:v>
      </x:c>
      <x:c r="O134" s="71" t="str">
        <x:v>80030631d152d701a60ba9af3a3a491262b3496427f7c5c02b4942e2e084c1a8</x:v>
      </x:c>
      <x:c r="P134" s="75" t="str">
        <x:v>INCLUDE</x:v>
      </x:c>
      <x:c r="Q134" s="79" t="str"/>
    </x:row>
    <x:row r="135" ht="92" customHeight="1">
      <x:c r="A135" s="54" t="n">
        <x:v>133</x:v>
      </x:c>
      <x:c r="B135" s="54" t="str">
        <x:v>sky.saturn.sextile.pluto</x:v>
      </x:c>
      <x:c r="C135" s="54" t="str">
        <x:v>Saturn sextile Pluto</x:v>
      </x:c>
      <x:c r="D135" s="54" t="str">
        <x:v>saturn</x:v>
      </x:c>
      <x:c r="E135" s="54" t="str">
        <x:v>sextile</x:v>
      </x:c>
      <x:c r="F135" s="54" t="str">
        <x:v>pluto</x:v>
      </x:c>
      <x:c r="G135" s="54" t="str">
        <x:v>A serious review reaches the rule, contract, or chain of authority protecting a long-standing abuse of power.</x:v>
      </x:c>
      <x:c r="H135" s="54" t="str">
        <x:v>A serious review reaches the rule, contract, or chain of authority protecting a long-standing abuse of power. One audit, legal opening, leadership change, or documented complaint gives reformers a chance to alter the structure instead of disciplining another disposable person. Saturn keeps the institution and its responsibilities on the table, while Pluto exposes where control has been concentrated and protected. The sextile creates a narrow route toward structural accountability, but someone still has to use it against the people invested in the old arrangement. The reform matters because the consequence reaches the system that enabled the behavior.</x:v>
      </x:c>
      <x:c r="I135" s="54" t="str">
        <x:v>owner-refined Sky aspect v10.1 corpus; owner direction, chat 2026-08-01</x:v>
      </x:c>
      <x:c r="J135" s="56" t="str">
        <x:v>A serious review reaches the rule, contract, or chain of authority protecting a long-standing abuse of power.</x:v>
      </x:c>
      <x:c r="K135" s="56" t="str">
        <x:v>A serious review reaches the rule, contract, or chain of authority protecting a long-standing abuse of power. Saturn sextile Pluto can give an audit, legal opening, leadership change, or documented complaint enough force to alter the structure instead of disciplining another disposable person. Use the opening against the system that enabled the behavior. Change the approval path, reporting line, or consequence so the same power cannot simply regroup around a new name.</x:v>
      </x:c>
      <x:c r="L135" s="56" t="str">
        <x:v>Completed generic pair-aspect fallback. Use only when sign/date context is unavailable.</x:v>
      </x:c>
      <x:c r="M135" s="56" t="str">
        <x:v>REVIEW READY</x:v>
      </x:c>
      <x:c r="N135" s="54" t="str">
        <x:v>packages/astro-knowledge/data/transits/saturn-sextile-pluto.json</x:v>
      </x:c>
      <x:c r="O135" s="71" t="str">
        <x:v>89acb0bee12aba666f18d38f34d3cfa26891c7b198a2a0a5e8549e6ea608357e</x:v>
      </x:c>
      <x:c r="P135" s="75" t="str">
        <x:v>INCLUDE</x:v>
      </x:c>
      <x:c r="Q135" s="79" t="str"/>
    </x:row>
    <x:row r="136" ht="92" customHeight="1">
      <x:c r="A136" s="54" t="n">
        <x:v>134</x:v>
      </x:c>
      <x:c r="B136" s="54" t="str">
        <x:v>sky.saturn.conjunction.uranus</x:v>
      </x:c>
      <x:c r="C136" s="54" t="str">
        <x:v>Saturn conjunction Uranus</x:v>
      </x:c>
      <x:c r="D136" s="54" t="str">
        <x:v>saturn</x:v>
      </x:c>
      <x:c r="E136" s="54" t="str">
        <x:v>conjunction</x:v>
      </x:c>
      <x:c r="F136" s="54" t="str">
        <x:v>uranus</x:v>
      </x:c>
      <x:c r="G136" s="54" t="str">
        <x:v>A new system becomes mandatory at the same moment the old one is shut down.</x:v>
      </x:c>
      <x:c r="H136" s="54" t="str">
        <x:v>A new system becomes mandatory at the same moment the old one is shut down. Staff, residents, or users are expected to learn new rules, tools, and responsibilities while still meeting every obligation the former process handled. Saturn makes the change official and binding, while Uranus makes the break from the familiar structure difficult to reverse. Under the conjunction, reform and enforcement arrive as one institutional decision. The upgrade may solve a long-standing problem while leaving little room for the people who need more time to adapt.</x:v>
      </x:c>
      <x:c r="I136" s="54" t="str">
        <x:v>owner-refined Sky aspect v10.1 corpus; owner direction, chat 2026-08-01</x:v>
      </x:c>
      <x:c r="J136" s="56" t="str">
        <x:v>A new system becomes mandatory at the same moment the old one is shut down.</x:v>
      </x:c>
      <x:c r="K136" s="56" t="str">
        <x:v>A new system becomes mandatory at the same moment the old one is shut down. Saturn conjunct Uranus can make reform and enforcement arrive together, leaving staff, residents, or users to learn new rules and tools while still meeting every obligation the former process handled. The upgrade may solve a specific problem and still be badly timed. Keep a working bridge between the two systems long enough for records, payments, and people to move. A transition is not complete because leadership declared the old version over.</x:v>
      </x:c>
      <x:c r="L136" s="56" t="str">
        <x:v>Completed generic pair-aspect fallback. Use only when sign/date context is unavailable.</x:v>
      </x:c>
      <x:c r="M136" s="56" t="str">
        <x:v>REVIEW READY</x:v>
      </x:c>
      <x:c r="N136" s="54" t="str">
        <x:v>packages/astro-knowledge/data/transits/saturn-conjunction-uranus.json</x:v>
      </x:c>
      <x:c r="O136" s="71" t="str">
        <x:v>9bca8b56b46d851ab08fa6bcbb55ca5f9d5d2b3054db01224aa808b23c4749d9</x:v>
      </x:c>
      <x:c r="P136" s="75" t="str">
        <x:v>INCLUDE</x:v>
      </x:c>
      <x:c r="Q136" s="79" t="str"/>
    </x:row>
    <x:row r="137" ht="92" customHeight="1">
      <x:c r="A137" s="54" t="n">
        <x:v>135</x:v>
      </x:c>
      <x:c r="B137" s="54" t="str">
        <x:v>sky.saturn.opposition.uranus</x:v>
      </x:c>
      <x:c r="C137" s="54" t="str">
        <x:v>Saturn opposition Uranus</x:v>
      </x:c>
      <x:c r="D137" s="54" t="str">
        <x:v>saturn</x:v>
      </x:c>
      <x:c r="E137" s="54" t="str">
        <x:v>opposition</x:v>
      </x:c>
      <x:c r="F137" s="54" t="str">
        <x:v>uranus</x:v>
      </x:c>
      <x:c r="G137" s="54" t="str">
        <x:v>The officials responsible for continuity face the people demanding a complete break from the existing system.</x:v>
      </x:c>
      <x:c r="H137" s="54" t="str">
        <x:v>The officials responsible for continuity face the people demanding a complete break from the existing system. One side points to safety, law, records, and services that cannot simply stop; the other points to exclusion, failure, and a structure that uses stability to protect itself. Saturn holds the duty to maintain order, while Uranus gives the demand for reform enough force to make delay untenable. The opposition places institutional responsibility across from public refusal without allowing either side to claim there is no risk. The replacement may be necessary, but the final plan reveals whose stability was protected and whose disruption was treated as acceptable.</x:v>
      </x:c>
      <x:c r="I137" s="54" t="str">
        <x:v>owner-refined Sky aspect v10.1 corpus; owner direction, chat 2026-08-01</x:v>
      </x:c>
      <x:c r="J137" s="56" t="str">
        <x:v>The officials responsible for continuity face the people demanding a complete break from the existing system.</x:v>
      </x:c>
      <x:c r="K137" s="56" t="str">
        <x:v>The officials responsible for continuity face the people demanding a complete break from the existing system. Saturn opposite Uranus can put safety, law, records, and services directly across from exclusion, failure, and a structure that has used stability to protect itself. Both sides are naming a risk. The replacement plan should show whose stability matters and who was previously expected to absorb the disruption. Reform is stronger when it protects essential continuity without using continuity as an excuse to preserve the failure.</x:v>
      </x:c>
      <x:c r="L137" s="56" t="str">
        <x:v>Completed generic pair-aspect fallback. Use only when sign/date context is unavailable.</x:v>
      </x:c>
      <x:c r="M137" s="56" t="str">
        <x:v>REVIEW READY</x:v>
      </x:c>
      <x:c r="N137" s="54" t="str">
        <x:v>packages/astro-knowledge/data/transits/saturn-opposition-uranus.json</x:v>
      </x:c>
      <x:c r="O137" s="71" t="str">
        <x:v>4bc2f01637f4f101b2cb5b6d7e7da09d74df2db8976839dd21234f22416423e2</x:v>
      </x:c>
      <x:c r="P137" s="75" t="str">
        <x:v>INCLUDE</x:v>
      </x:c>
      <x:c r="Q137" s="79" t="str"/>
    </x:row>
    <x:row r="138" ht="92" customHeight="1">
      <x:c r="A138" s="54" t="n">
        <x:v>136</x:v>
      </x:c>
      <x:c r="B138" s="54" t="str">
        <x:v>sky.saturn.square.uranus</x:v>
      </x:c>
      <x:c r="C138" s="54" t="str">
        <x:v>Saturn square Uranus</x:v>
      </x:c>
      <x:c r="D138" s="54" t="str">
        <x:v>saturn</x:v>
      </x:c>
      <x:c r="E138" s="54" t="str">
        <x:v>square</x:v>
      </x:c>
      <x:c r="F138" s="54" t="str">
        <x:v>uranus</x:v>
      </x:c>
      <x:c r="G138" s="54" t="str">
        <x:v>A rigid institution keeps enforcing a process that technology, staff, or public need has already made obsolete.</x:v>
      </x:c>
      <x:c r="H138" s="54" t="str">
        <x:v>A rigid institution keeps enforcing a process that technology, staff, or public need has already made obsolete. Workers build unofficial workarounds, users keep finding gaps, and leadership responds by tightening the same rules creating the delay. Saturn protects the established structure and chain of responsibility, while Uranus keeps exposing where the structure can no longer contain reality. The square turns every attempted workaround into another confrontation over who is authorized to change the system. Reform may be unavoidable, but the people trapped inside the transition pay for every month authority refuses to admit the old process has failed.</x:v>
      </x:c>
      <x:c r="I138" s="54" t="str">
        <x:v>owner-refined Sky aspect v10.1 corpus; owner direction, chat 2026-08-01</x:v>
      </x:c>
      <x:c r="J138" s="56" t="str">
        <x:v>A rigid institution keeps enforcing a process that technology, staff, or public need has already made obsolete.</x:v>
      </x:c>
      <x:c r="K138" s="56" t="str">
        <x:v>A rigid institution keeps enforcing a process that technology, staff, or public need has already made obsolete. Saturn square Uranus can make workers build unofficial workarounds while leadership tightens the same rules causing the delay. Every workaround becomes another argument about who is authorized to change the system. Stop treating the workaround as misconduct if it is the only thing keeping the work moving. Document where the official process fails and escalate the specific rule blocking a replacement.</x:v>
      </x:c>
      <x:c r="L138" s="56" t="str">
        <x:v>Completed generic pair-aspect fallback. Use only when sign/date context is unavailable.</x:v>
      </x:c>
      <x:c r="M138" s="56" t="str">
        <x:v>REVIEW READY</x:v>
      </x:c>
      <x:c r="N138" s="54" t="str">
        <x:v>packages/astro-knowledge/data/transits/saturn-square-uranus.json</x:v>
      </x:c>
      <x:c r="O138" s="71" t="str">
        <x:v>b706d690fcc37db9956ae5a97b7fe9c2cab977951117b93433e1713bc31f49f9</x:v>
      </x:c>
      <x:c r="P138" s="75" t="str">
        <x:v>INCLUDE</x:v>
      </x:c>
      <x:c r="Q138" s="79" t="str"/>
    </x:row>
    <x:row r="139" ht="92" customHeight="1">
      <x:c r="A139" s="54" t="n">
        <x:v>137</x:v>
      </x:c>
      <x:c r="B139" s="54" t="str">
        <x:v>sky.saturn.trine.uranus</x:v>
      </x:c>
      <x:c r="C139" s="54" t="str">
        <x:v>Saturn trine Uranus</x:v>
      </x:c>
      <x:c r="D139" s="54" t="str">
        <x:v>saturn</x:v>
      </x:c>
      <x:c r="E139" s="54" t="str">
        <x:v>trine</x:v>
      </x:c>
      <x:c r="F139" s="54" t="str">
        <x:v>uranus</x:v>
      </x:c>
      <x:c r="G139" s="54" t="str">
        <x:v>A major system changes without forcing the people who rely on it to survive a chaotic transition.</x:v>
      </x:c>
      <x:c r="H139" s="54" t="str">
        <x:v>A major system changes without forcing the people who rely on it to survive a chaotic transition. The old and new processes overlap long enough for records, payments, staff, and public access to move without disappearing between platforms. Saturn protects the responsibilities the system must continue meeting, while Uranus replaces the infrastructure that kept producing the failure. Under the trine, order and reform reinforce each other without making disruption a measure of progress. The update takes hold because the people affected receive a working replacement before the familiar route is removed.</x:v>
      </x:c>
      <x:c r="I139" s="54" t="str">
        <x:v>owner-refined Sky aspect v10.1 corpus; owner direction, chat 2026-08-01</x:v>
      </x:c>
      <x:c r="J139" s="56" t="str">
        <x:v>A major system changes without forcing the people who rely on it to survive a chaotic transition.</x:v>
      </x:c>
      <x:c r="K139" s="56" t="str">
        <x:v>A major system changes without forcing the people who rely on it to survive a chaotic transition. Saturn trine Uranus can let the old and new processes overlap long enough for records, payments, staff, and public access to move safely between them. Reform does not need disruption to prove it is reform. Keep the backup live until the replacement has handled ordinary use, not just a launch test. People trust change faster when the familiar route disappears after the new one is already working.</x:v>
      </x:c>
      <x:c r="L139" s="56" t="str">
        <x:v>Completed generic pair-aspect fallback. Use only when sign/date context is unavailable.</x:v>
      </x:c>
      <x:c r="M139" s="56" t="str">
        <x:v>REVIEW READY</x:v>
      </x:c>
      <x:c r="N139" s="54" t="str">
        <x:v>packages/astro-knowledge/data/transits/saturn-trine-uranus.json</x:v>
      </x:c>
      <x:c r="O139" s="71" t="str">
        <x:v>70c37d760aef9f42c638662ceacae3459d83ae9cc704b9eff31cc43f8740bbf2</x:v>
      </x:c>
      <x:c r="P139" s="75" t="str">
        <x:v>INCLUDE</x:v>
      </x:c>
      <x:c r="Q139" s="79" t="str"/>
    </x:row>
    <x:row r="140" ht="92" customHeight="1">
      <x:c r="A140" s="54" t="n">
        <x:v>138</x:v>
      </x:c>
      <x:c r="B140" s="54" t="str">
        <x:v>sky.saturn.sextile.uranus</x:v>
      </x:c>
      <x:c r="C140" s="54" t="str">
        <x:v>Saturn sextile Uranus</x:v>
      </x:c>
      <x:c r="D140" s="54" t="str">
        <x:v>saturn</x:v>
      </x:c>
      <x:c r="E140" s="54" t="str">
        <x:v>sextile</x:v>
      </x:c>
      <x:c r="F140" s="54" t="str">
        <x:v>uranus</x:v>
      </x:c>
      <x:c r="G140" s="54" t="str">
        <x:v>An overdue system upgrade fixes a pipeline that was quietly failing the people who needed it most.</x:v>
      </x:c>
      <x:c r="H140" s="54" t="str">
        <x:v>An overdue system upgrade fixes a pipeline that was quietly failing the people who needed it most. An agency streamlines booking, a food bank digitizes inventory, or a community fund adopts faster payouts after someone secures approval to change one stubborn part of the process. Saturn identifies where support has been bottlenecked by poor structure, while Uranus retools the infrastructure that delivers it. The sextile creates a practical route toward reform, but someone still has to use the opening and complete the unglamorous work. Help reaches the front door with less delay because the change repairs the system instead of adding another promise.</x:v>
      </x:c>
      <x:c r="I140" s="54" t="str">
        <x:v>owner-refined Sky aspect v10.1 corpus; owner direction, chat 2026-08-01</x:v>
      </x:c>
      <x:c r="J140" s="56" t="str">
        <x:v>An overdue system upgrade fixes a pipeline that was quietly failing the people who needed it most.</x:v>
      </x:c>
      <x:c r="K140" s="56" t="str">
        <x:v>An overdue system upgrade fixes a pipeline that was quietly failing the people who needed it most. Saturn sextile Uranus can turn one approved change in booking, inventory, payouts, or processing into a much faster route through a stubborn bottleneck. The improvement may be technical, but the result is human: fewer missed appointments, delayed payments, or people turned away. Finish the unglamorous implementation. A good reform is the one that reaches the front door with less delay.</x:v>
      </x:c>
      <x:c r="L140" s="56" t="str">
        <x:v>Completed generic pair-aspect fallback. Use only when sign/date context is unavailable.</x:v>
      </x:c>
      <x:c r="M140" s="56" t="str">
        <x:v>REVIEW READY</x:v>
      </x:c>
      <x:c r="N140" s="54" t="str">
        <x:v>packages/astro-knowledge/data/transits/saturn-sextile-uranus.json</x:v>
      </x:c>
      <x:c r="O140" s="71" t="str">
        <x:v>b48a47e5db048d4d33d4a37670d14fe546bc2453230af117e67c8faafc7024aa</x:v>
      </x:c>
      <x:c r="P140" s="75" t="str">
        <x:v>INCLUDE</x:v>
      </x:c>
      <x:c r="Q140" s="79" t="str"/>
    </x:row>
    <x:row r="141" ht="92" customHeight="1">
      <x:c r="A141" s="54" t="n">
        <x:v>139</x:v>
      </x:c>
      <x:c r="B141" s="54" t="str">
        <x:v>sky.sun.conjunction.jupiter</x:v>
      </x:c>
      <x:c r="C141" s="54" t="str">
        <x:v>Sun conjunction Jupiter</x:v>
      </x:c>
      <x:c r="D141" s="54" t="str">
        <x:v>sun</x:v>
      </x:c>
      <x:c r="E141" s="54" t="str">
        <x:v>conjunction</x:v>
      </x:c>
      <x:c r="F141" s="54" t="str">
        <x:v>jupiter</x:v>
      </x:c>
      <x:c r="G141" s="54" t="str">
        <x:v>A wave of attention puts a leader or passion project center stage.</x:v>
      </x:c>
      <x:c r="H141" s="54" t="str">
        <x:v>A wave of attention puts a leader or passion project center stage. Public backing raises the profile quickly and creates immediate pressure to show results on a much larger scale. The Sun puts the central figure under floodlights, while Jupiter magnifies the reach, confidence, and stakes surrounding them. Under the conjunction, visibility and expansion feed each other before anyone can separate opportunity from expectation. Everyone around the project may enjoy the momentum while the person at the center carries the weight of everything the crowd now believes is possible.</x:v>
      </x:c>
      <x:c r="I141" s="54" t="str">
        <x:v>owner-refined Sky aspect v10.1 corpus; owner direction, chat 2026-08-01</x:v>
      </x:c>
      <x:c r="J141" s="56" t="str">
        <x:v>A wave of attention puts a leader or passion project center stage.</x:v>
      </x:c>
      <x:c r="K141" s="56" t="str">
        <x:v>A wave of attention puts a leader or passion project center stage. Sun conjunct Jupiter can make visibility and expansion feed each other so quickly that public backing becomes a new level of responsibility before the person at the center has had time to adjust. More attention creates more expectation. Decide what the larger audience can actually receive now. A bigger platform is useful when the promise grows with the work, not faster than it.</x:v>
      </x:c>
      <x:c r="L141" s="56" t="str">
        <x:v>Completed generic pair-aspect fallback. Use only when sign/date context is unavailable.</x:v>
      </x:c>
      <x:c r="M141" s="56" t="str">
        <x:v>REVIEW READY</x:v>
      </x:c>
      <x:c r="N141" s="54" t="str">
        <x:v>packages/astro-knowledge/data/transits/sun-conjunction-jupiter.json</x:v>
      </x:c>
      <x:c r="O141" s="71" t="str">
        <x:v>170e08462fadd6a859b00c1c495d65e23e288096bdc8613e70037516a3fc5f88</x:v>
      </x:c>
      <x:c r="P141" s="75" t="str">
        <x:v>INCLUDE</x:v>
      </x:c>
      <x:c r="Q141" s="79" t="str"/>
    </x:row>
    <x:row r="142" ht="92" customHeight="1">
      <x:c r="A142" s="54" t="n">
        <x:v>140</x:v>
      </x:c>
      <x:c r="B142" s="54" t="str">
        <x:v>sky.sun.opposition.jupiter</x:v>
      </x:c>
      <x:c r="C142" s="54" t="str">
        <x:v>Sun opposition Jupiter</x:v>
      </x:c>
      <x:c r="D142" s="54" t="str">
        <x:v>sun</x:v>
      </x:c>
      <x:c r="E142" s="54" t="str">
        <x:v>opposition</x:v>
      </x:c>
      <x:c r="F142" s="54" t="str">
        <x:v>jupiter</x:v>
      </x:c>
      <x:c r="G142" s="54" t="str">
        <x:v>The announcement promises access on a much larger scale than the current system can deliver.</x:v>
      </x:c>
      <x:c r="H142" s="54" t="str">
        <x:v>The announcement promises access on a much larger scale than the current system can deliver. Leadership points to demand, reach, and public excitement, while operators point to waitlists, staffing, and costs that have already exceeded the original plan. The Sun defends the oversized public promise, while Jupiter makes the audience and the obligation grow together. The opposition places the inspiring promise directly across from the size of the obligation it creates. The program may still grow, but the gap between reach and capacity becomes the first problem expansion has to answer.</x:v>
      </x:c>
      <x:c r="I142" s="54" t="str">
        <x:v>owner-refined Sky aspect v10.1 corpus; owner direction, chat 2026-08-01</x:v>
      </x:c>
      <x:c r="J142" s="56" t="str">
        <x:v>The announcement promises access on a much larger scale than the current system can deliver.</x:v>
      </x:c>
      <x:c r="K142" s="56" t="str">
        <x:v>The announcement promises access on a much larger scale than the current system can deliver. Sun opposite Jupiter can put the inspiring headline directly across from waitlists, staffing limits, and costs that have already exceeded the original plan. Leadership may be right that demand is there. Operators may be right that the system cannot support it yet. Close the gap before another public promise widens it. Publish the limits, expand what can be delivered, or narrow the claim.</x:v>
      </x:c>
      <x:c r="L142" s="56" t="str">
        <x:v>Completed generic pair-aspect fallback. Use only when sign/date context is unavailable.</x:v>
      </x:c>
      <x:c r="M142" s="56" t="str">
        <x:v>REVIEW READY</x:v>
      </x:c>
      <x:c r="N142" s="54" t="str">
        <x:v>packages/astro-knowledge/data/transits/sun-opposition-jupiter.json</x:v>
      </x:c>
      <x:c r="O142" s="71" t="str">
        <x:v>8362ca056fafc488848920d603f1b7d533c570613029f0739739e1c2e4606890</x:v>
      </x:c>
      <x:c r="P142" s="75" t="str">
        <x:v>INCLUDE</x:v>
      </x:c>
      <x:c r="Q142" s="79" t="str"/>
    </x:row>
    <x:row r="143" ht="92" customHeight="1">
      <x:c r="A143" s="54" t="n">
        <x:v>141</x:v>
      </x:c>
      <x:c r="B143" s="54" t="str">
        <x:v>sky.sun.square.jupiter</x:v>
      </x:c>
      <x:c r="C143" s="54" t="str">
        <x:v>Sun square Jupiter</x:v>
      </x:c>
      <x:c r="D143" s="54" t="str">
        <x:v>sun</x:v>
      </x:c>
      <x:c r="E143" s="54" t="str">
        <x:v>square</x:v>
      </x:c>
      <x:c r="F143" s="54" t="str">
        <x:v>jupiter</x:v>
      </x:c>
      <x:c r="G143" s="54" t="str">
        <x:v>The launch keeps adding features while the budget and sign-off stay put.</x:v>
      </x:c>
      <x:c r="H143" s="54" t="str">
        <x:v>The launch keeps adding features while the budget and sign-off stay put. Every new promise sounds exciting in the announcement, but the staff, time, and legal authority needed to deliver it never increase with the scope. The Sun protects the public commitment, while Jupiter keeps enlarging what leadership believes the project can become. Under the tension of the square, the promise keeps stretching until a hard limit refuses one more addition. The launch may attract attention, but the team inherits every expectation created before anyone checked what the plan could hold.</x:v>
      </x:c>
      <x:c r="I143" s="54" t="str">
        <x:v>owner-refined Sky aspect v10.1 corpus; owner direction, chat 2026-08-01</x:v>
      </x:c>
      <x:c r="J143" s="56" t="str">
        <x:v>The launch keeps adding features while the budget and sign-off stay put.</x:v>
      </x:c>
      <x:c r="K143" s="56" t="str">
        <x:v>The launch keeps adding features while the budget and sign-off stay put. Sun square Jupiter can make every new promise sound exciting in public while the staff, time, and legal authority needed to deliver it remain exactly the same. Scope grows because optimism keeps winning the meeting. The team inherits every expectation anyway. Freeze the additions long enough to compare the public promise with the resources underneath it. If the numbers did not grow, the scope cannot keep growing for free.</x:v>
      </x:c>
      <x:c r="L143" s="56" t="str">
        <x:v>Completed generic pair-aspect fallback. Use only when sign/date context is unavailable.</x:v>
      </x:c>
      <x:c r="M143" s="56" t="str">
        <x:v>REVIEW READY</x:v>
      </x:c>
      <x:c r="N143" s="54" t="str">
        <x:v>packages/astro-knowledge/data/transits/sun-square-jupiter.json</x:v>
      </x:c>
      <x:c r="O143" s="71" t="str">
        <x:v>759271fc426c082e018fe3530f5a28d5ff72f79760d516f4b71e5df3cef56581</x:v>
      </x:c>
      <x:c r="P143" s="75" t="str">
        <x:v>INCLUDE</x:v>
      </x:c>
      <x:c r="Q143" s="79" t="str"/>
    </x:row>
    <x:row r="144" ht="92" customHeight="1">
      <x:c r="A144" s="54" t="n">
        <x:v>142</x:v>
      </x:c>
      <x:c r="B144" s="54" t="str">
        <x:v>sky.sun.trine.jupiter</x:v>
      </x:c>
      <x:c r="C144" s="54" t="str">
        <x:v>Sun trine Jupiter</x:v>
      </x:c>
      <x:c r="D144" s="54" t="str">
        <x:v>sun</x:v>
      </x:c>
      <x:c r="E144" s="54" t="str">
        <x:v>trine</x:v>
      </x:c>
      <x:c r="F144" s="54" t="str">
        <x:v>jupiter</x:v>
      </x:c>
      <x:c r="G144" s="54" t="str">
        <x:v>Public support arrives at the exact point a proven project is ready to expand.</x:v>
      </x:c>
      <x:c r="H144" s="54" t="str">
        <x:v>Public support arrives at the exact point a proven project is ready to expand. Funding, press, and institutional backing follow work that already has a team, a record, and a clear next stage. The Sun keeps attention on the person or purpose at the center, while Jupiter increases the reach without pulling the effort away from what made it work. Under the trine, visibility and opportunity reinforce each other without requiring an inflated sales pitch. The expansion feels earned because the larger audience can see what its support is helping continue.</x:v>
      </x:c>
      <x:c r="I144" s="54" t="str">
        <x:v>owner-refined Sky aspect v10.1 corpus; owner direction, chat 2026-08-01</x:v>
      </x:c>
      <x:c r="J144" s="56" t="str">
        <x:v>Public support arrives at the exact point a proven project is ready to expand.</x:v>
      </x:c>
      <x:c r="K144" s="56" t="str">
        <x:v>Public support arrives at the exact point a proven project is ready to expand. Sun trine Jupiter can bring funding, press, or institutional backing to work that already has a team, a record, and a clear next stage. The opportunity feels earned because the larger audience can see what its support is helping continue. This is a good time to grow the part that already works. Keep the expansion tied to the method, people, and purpose that produced the result in the first place.</x:v>
      </x:c>
      <x:c r="L144" s="56" t="str">
        <x:v>Completed generic pair-aspect fallback. Use only when sign/date context is unavailable.</x:v>
      </x:c>
      <x:c r="M144" s="56" t="str">
        <x:v>REVIEW READY</x:v>
      </x:c>
      <x:c r="N144" s="54" t="str">
        <x:v>packages/astro-knowledge/data/transits/sun-trine-jupiter.json</x:v>
      </x:c>
      <x:c r="O144" s="71" t="str">
        <x:v>e02aaf8884e7e5aa1cc2d8c21b97a3683f611fac9f4f12996aced8fff3fee75f</x:v>
      </x:c>
      <x:c r="P144" s="75" t="str">
        <x:v>INCLUDE</x:v>
      </x:c>
      <x:c r="Q144" s="79" t="str"/>
    </x:row>
    <x:row r="145" ht="92" customHeight="1">
      <x:c r="A145" s="54" t="n">
        <x:v>143</x:v>
      </x:c>
      <x:c r="B145" s="54" t="str">
        <x:v>sky.sun.sextile.jupiter</x:v>
      </x:c>
      <x:c r="C145" s="54" t="str">
        <x:v>Sun sextile Jupiter</x:v>
      </x:c>
      <x:c r="D145" s="54" t="str">
        <x:v>sun</x:v>
      </x:c>
      <x:c r="E145" s="54" t="str">
        <x:v>sextile</x:v>
      </x:c>
      <x:c r="F145" s="54" t="str">
        <x:v>jupiter</x:v>
      </x:c>
      <x:c r="G145" s="54" t="str">
        <x:v>A grant clears and a partner signs, funding the exact piece that needed support right as momentum stalled.</x:v>
      </x:c>
      <x:c r="H145" s="54" t="str">
        <x:v>A grant clears and a partner signs, funding the exact piece that needed support right as momentum stalled. Someone uses the opening to hire the missing person, reserve the space, or secure the permit before the money is redirected. The Sun keeps the expansion anchored to its original purpose, while Jupiter brings a bigger audience, budget, and level of institutional confidence. The sextile opens a larger door, but the opportunity still depends on someone moving before the window closes. The project grows because the new support is attached to a specific need instead of a bigger promise.</x:v>
      </x:c>
      <x:c r="I145" s="54" t="str">
        <x:v>owner-refined Sky aspect v10.1 corpus; owner direction, chat 2026-08-01</x:v>
      </x:c>
      <x:c r="J145" s="56" t="str">
        <x:v>A grant clears and a partner signs, funding the exact piece that needed support right as momentum stalled.</x:v>
      </x:c>
      <x:c r="K145" s="56" t="str">
        <x:v>A grant clears and a partner signs, funding the exact piece that needed support right as momentum stalled. Sun sextile Jupiter can open a larger door without forcing the project to become something else. Hire the missing person, reserve the space, secure the permit, or solve the specific problem that stopped the next stage. Use the support where it was actually needed. A larger opportunity stays useful when it is attached to a defined job instead of another oversized promise.</x:v>
      </x:c>
      <x:c r="L145" s="56" t="str">
        <x:v>Completed generic pair-aspect fallback. Use only when sign/date context is unavailable.</x:v>
      </x:c>
      <x:c r="M145" s="56" t="str">
        <x:v>REVIEW READY</x:v>
      </x:c>
      <x:c r="N145" s="54" t="str">
        <x:v>packages/astro-knowledge/data/transits/sun-sextile-jupiter.json</x:v>
      </x:c>
      <x:c r="O145" s="71" t="str">
        <x:v>2183a5edc82641e832906277141922de886395fbc1d67018775bdbec4ae99495</x:v>
      </x:c>
      <x:c r="P145" s="75" t="str">
        <x:v>INCLUDE</x:v>
      </x:c>
      <x:c r="Q145" s="79" t="str"/>
    </x:row>
    <x:row r="146" ht="92" customHeight="1">
      <x:c r="A146" s="54" t="n">
        <x:v>144</x:v>
      </x:c>
      <x:c r="B146" s="54" t="str">
        <x:v>sky.sun.conjunction.mars</x:v>
      </x:c>
      <x:c r="C146" s="54" t="str">
        <x:v>Sun conjunction Mars</x:v>
      </x:c>
      <x:c r="D146" s="54" t="str">
        <x:v>sun</x:v>
      </x:c>
      <x:c r="E146" s="54" t="str">
        <x:v>conjunction</x:v>
      </x:c>
      <x:c r="F146" s="54" t="str">
        <x:v>mars</x:v>
      </x:c>
      <x:c r="G146" s="54" t="str">
        <x:v>The plan and the first move happen in the same meeting.</x:v>
      </x:c>
      <x:c r="H146" s="54" t="str">
        <x:v>The plan and the first move happen in the same meeting. A vote is followed by an immediate filing, launch, dismissal, or transfer before anyone outside the room has time to prepare. The Sun gives the action authority, while Mars removes the distance between deciding and doing. Under the conjunction, the person setting the direction also becomes responsible for the force used to carry it out. The speed may prevent interference, but it leaves every overlooked consequence attached to the person who moved first.</x:v>
      </x:c>
      <x:c r="I146" s="54" t="str">
        <x:v>owner-refined Sky aspect v10.1 corpus; owner direction, chat 2026-08-01</x:v>
      </x:c>
      <x:c r="J146" s="56" t="str">
        <x:v>The plan and the first move happen in the same meeting.</x:v>
      </x:c>
      <x:c r="K146" s="56" t="str">
        <x:v>The plan and the first move happen in the same meeting. Sun conjunct Mars can remove nearly all distance between deciding and doing, so a vote is followed by a filing, launch, dismissal, or transfer before anyone outside the meeting can prepare. That speed gives leadership power and responsibility at the same time. The person setting the direction also owns the consequences of the first move. Fast execution is not an excuse to pretend the overlooked fallout belongs to somebody else.</x:v>
      </x:c>
      <x:c r="L146" s="56" t="str">
        <x:v>Completed generic pair-aspect fallback. Use only when sign/date context is unavailable.</x:v>
      </x:c>
      <x:c r="M146" s="56" t="str">
        <x:v>REVIEW READY</x:v>
      </x:c>
      <x:c r="N146" s="54" t="str">
        <x:v>packages/astro-knowledge/data/transits/sun-conjunction-mars.json</x:v>
      </x:c>
      <x:c r="O146" s="71" t="str">
        <x:v>38aae1ab134bac25e0c3ff5e1adbf90f92eb10788cff36afb83b6daa0cbc7fa0</x:v>
      </x:c>
      <x:c r="P146" s="75" t="str">
        <x:v>INCLUDE</x:v>
      </x:c>
      <x:c r="Q146" s="79" t="str"/>
    </x:row>
    <x:row r="147" ht="92" customHeight="1">
      <x:c r="A147" s="54" t="n">
        <x:v>145</x:v>
      </x:c>
      <x:c r="B147" s="54" t="str">
        <x:v>sky.sun.opposition.mars</x:v>
      </x:c>
      <x:c r="C147" s="54" t="str">
        <x:v>Sun opposition Mars</x:v>
      </x:c>
      <x:c r="D147" s="54" t="str">
        <x:v>sun</x:v>
      </x:c>
      <x:c r="E147" s="54" t="str">
        <x:v>opposition</x:v>
      </x:c>
      <x:c r="F147" s="54" t="str">
        <x:v>mars</x:v>
      </x:c>
      <x:c r="G147" s="54" t="str">
        <x:v>The person announcing the plan stands across from the people expected to execute it.</x:v>
      </x:c>
      <x:c r="H147" s="54" t="str">
        <x:v>The person announcing the plan stands across from the people expected to execute it. Leadership points to strategy and urgency, while staff point to safety, hours, and the work that cannot be completed on command. The Sun defends the official order, while Mars turns resistance into stopped work and a refusal nobody can edit out of the room. The opposition leaves the order and the refusal staring across the same room. A settlement may be reached, but only after the person in charge accepts that issuing a command is not the same as having the labor to fulfill it.</x:v>
      </x:c>
      <x:c r="I147" s="54" t="str">
        <x:v>owner-refined Sky aspect v10.1 corpus; owner direction, chat 2026-08-01</x:v>
      </x:c>
      <x:c r="J147" s="56" t="str">
        <x:v>The person announcing the plan stands across from the people expected to execute it.</x:v>
      </x:c>
      <x:c r="K147" s="56" t="str">
        <x:v>The person announcing the plan stands across from the people expected to execute it. Sun opposite Mars can put strategy and urgency directly against safety, hours, and the work that cannot be completed on command. Issuing the order is not the same as having the people to fulfill it. Bring the operators into the decision before the deadline becomes a test of obedience. A plan is stronger when the people doing the work can say what it will actually take.</x:v>
      </x:c>
      <x:c r="L147" s="56" t="str">
        <x:v>Completed generic pair-aspect fallback. Use only when sign/date context is unavailable.</x:v>
      </x:c>
      <x:c r="M147" s="56" t="str">
        <x:v>REVIEW READY</x:v>
      </x:c>
      <x:c r="N147" s="54" t="str">
        <x:v>packages/astro-knowledge/data/transits/sun-opposition-mars.json</x:v>
      </x:c>
      <x:c r="O147" s="71" t="str">
        <x:v>d82586c4bccef4691c55622f209c688bb4313da1e00aa7cbcc211d2616cbf4ce</x:v>
      </x:c>
      <x:c r="P147" s="75" t="str">
        <x:v>INCLUDE</x:v>
      </x:c>
      <x:c r="Q147" s="79" t="str"/>
    </x:row>
    <x:row r="148" ht="92" customHeight="1">
      <x:c r="A148" s="54" t="n">
        <x:v>146</x:v>
      </x:c>
      <x:c r="B148" s="54" t="str">
        <x:v>sky.sun.square.mars</x:v>
      </x:c>
      <x:c r="C148" s="54" t="str">
        <x:v>Sun square Mars</x:v>
      </x:c>
      <x:c r="D148" s="54" t="str">
        <x:v>sun</x:v>
      </x:c>
      <x:c r="E148" s="54" t="str">
        <x:v>square</x:v>
      </x:c>
      <x:c r="F148" s="54" t="str">
        <x:v>mars</x:v>
      </x:c>
      <x:c r="G148" s="54" t="str">
        <x:v>A director moves the date up and the team pushes back in the same email thread.</x:v>
      </x:c>
      <x:c r="H148" s="54" t="str">
        <x:v>A director moves the date up and the team pushes back in the same email thread. Management calls the deadline necessary, while the people responsible for delivery point to missing staff, unfinished work, and promises already made elsewhere. The Sun treats the order as settled, while Mars refuses to hide the anger or physical cost of carrying it out. The square turns the schedule into a direct test of whether authority can still force cooperation. The date may hold, but every rushed mistake becomes part of the argument leadership tried to close.</x:v>
      </x:c>
      <x:c r="I148" s="54" t="str">
        <x:v>owner-refined Sky aspect v10.1 corpus; owner direction, chat 2026-08-01</x:v>
      </x:c>
      <x:c r="J148" s="56" t="str">
        <x:v>A director moves the date up and the team pushes back in the same email thread.</x:v>
      </x:c>
      <x:c r="K148" s="56" t="str">
        <x:v>A director moves the date up and the team pushes back in the same email thread. Sun square Mars can turn the schedule into a direct fight over authority when management treats the order as final and the people responsible for delivery are still naming missing staff, unfinished work, and prior commitments. The date may hold and the mistakes will still count. Recalculate the workload before demanding faster execution. Pressure does not create extra hours just because leadership needs them.</x:v>
      </x:c>
      <x:c r="L148" s="56" t="str">
        <x:v>Completed generic pair-aspect fallback. Use only when sign/date context is unavailable.</x:v>
      </x:c>
      <x:c r="M148" s="56" t="str">
        <x:v>REVIEW READY</x:v>
      </x:c>
      <x:c r="N148" s="54" t="str">
        <x:v>packages/astro-knowledge/data/transits/sun-square-mars.json</x:v>
      </x:c>
      <x:c r="O148" s="71" t="str">
        <x:v>586dd7a96eb7d65980d7a4baf37befe4de0da01f938d4a5a78add5dc94819797</x:v>
      </x:c>
      <x:c r="P148" s="75" t="str">
        <x:v>INCLUDE</x:v>
      </x:c>
      <x:c r="Q148" s="79" t="str"/>
    </x:row>
    <x:row r="149" ht="92" customHeight="1">
      <x:c r="A149" s="54" t="n">
        <x:v>147</x:v>
      </x:c>
      <x:c r="B149" s="54" t="str">
        <x:v>sky.sun.trine.mars</x:v>
      </x:c>
      <x:c r="C149" s="54" t="str">
        <x:v>Sun trine Mars</x:v>
      </x:c>
      <x:c r="D149" s="54" t="str">
        <x:v>sun</x:v>
      </x:c>
      <x:c r="E149" s="54" t="str">
        <x:v>trine</x:v>
      </x:c>
      <x:c r="F149" s="54" t="str">
        <x:v>mars</x:v>
      </x:c>
      <x:c r="G149" s="54" t="str">
        <x:v>The order is given and the work begins without a second meeting.</x:v>
      </x:c>
      <x:c r="H149" s="54" t="str">
        <x:v>The order is given and the work begins without a second meeting. Leadership secures the staff, tools, and approval in advance, so the people doing the job can move instead of waiting for another signature. The Sun sets the objective, while Mars puts labor, speed, and nerve behind it. Under the trine, authority and action move together without turning the handoff into a fight. The result arrives quickly because nobody has to waste energy figuring out whether they are allowed to proceed.</x:v>
      </x:c>
      <x:c r="I149" s="54" t="str">
        <x:v>owner-refined Sky aspect v10.1 corpus; owner direction, chat 2026-08-01</x:v>
      </x:c>
      <x:c r="J149" s="56" t="str">
        <x:v>The order is given and the work begins without a second meeting.</x:v>
      </x:c>
      <x:c r="K149" s="56" t="str">
        <x:v>The order is given and the work begins without a second meeting. Sun trine Mars can make authority and action reinforce each other because the staff, tools, and approval were secured before the directive arrived. Nobody has to waste time wondering if they are allowed to proceed. Keep the objective clear and let the people doing the work move. Good leadership is visible in how little avoidable friction remains between the decision and the first useful action.</x:v>
      </x:c>
      <x:c r="L149" s="56" t="str">
        <x:v>Completed generic pair-aspect fallback. Use only when sign/date context is unavailable.</x:v>
      </x:c>
      <x:c r="M149" s="56" t="str">
        <x:v>REVIEW READY</x:v>
      </x:c>
      <x:c r="N149" s="54" t="str">
        <x:v>packages/astro-knowledge/data/transits/sun-trine-mars.json</x:v>
      </x:c>
      <x:c r="O149" s="71" t="str">
        <x:v>cdf0bbbb05893bdeec00d1413aec92ddf03d16c7e17916bd9890108f54907c58</x:v>
      </x:c>
      <x:c r="P149" s="75" t="str">
        <x:v>INCLUDE</x:v>
      </x:c>
      <x:c r="Q149" s="79" t="str"/>
    </x:row>
    <x:row r="150" ht="92" customHeight="1">
      <x:c r="A150" s="54" t="n">
        <x:v>148</x:v>
      </x:c>
      <x:c r="B150" s="54" t="str">
        <x:v>sky.sun.sextile.mars</x:v>
      </x:c>
      <x:c r="C150" s="54" t="str">
        <x:v>Sun sextile Mars</x:v>
      </x:c>
      <x:c r="D150" s="54" t="str">
        <x:v>sun</x:v>
      </x:c>
      <x:c r="E150" s="54" t="str">
        <x:v>sextile</x:v>
      </x:c>
      <x:c r="F150" s="54" t="str">
        <x:v>mars</x:v>
      </x:c>
      <x:c r="G150" s="54" t="str">
        <x:v>One person takes the first task and another claims the next, dividing the work without an argument.</x:v>
      </x:c>
      <x:c r="H150" s="54" t="str">
        <x:v>One person takes the first task and another claims the next, dividing the work without an argument. A supervisor clears access, assigns the equipment, and gives the team enough authority to begin before the full plan is finished. The Sun authorizes the direction, while Mars puts someone on the first task before momentum cools. The sextile provides a usable opening, but the work only starts because someone reaches for it. The early result gives the unfinished plan something concrete to defend before support drifts elsewhere.</x:v>
      </x:c>
      <x:c r="I150" s="54" t="str">
        <x:v>owner-refined Sky aspect v10.1 corpus; owner direction, chat 2026-08-01</x:v>
      </x:c>
      <x:c r="J150" s="56" t="str">
        <x:v>One person takes the first task and another claims the next, dividing the work without an argument.</x:v>
      </x:c>
      <x:c r="K150" s="56" t="str">
        <x:v>One person takes the first task and another claims the next, dividing the work without an argument. Sun sextile Mars can make a partial plan useful once somebody has enough authority to start the first concrete piece. The early result gives the rest of the project something to build around. Name the first two owners and let them move. Clear handoffs and decision rights matter more than having every detail final before the work begins.</x:v>
      </x:c>
      <x:c r="L150" s="56" t="str">
        <x:v>Completed generic pair-aspect fallback. Use only when sign/date context is unavailable.</x:v>
      </x:c>
      <x:c r="M150" s="56" t="str">
        <x:v>REVIEW READY</x:v>
      </x:c>
      <x:c r="N150" s="54" t="str">
        <x:v>packages/astro-knowledge/data/transits/sun-sextile-mars.json</x:v>
      </x:c>
      <x:c r="O150" s="71" t="str">
        <x:v>aed7eff0b2653492d2b20e5f4c631a51b55cb7924e02a8f5d27a330f44a24a58</x:v>
      </x:c>
      <x:c r="P150" s="75" t="str">
        <x:v>INCLUDE</x:v>
      </x:c>
      <x:c r="Q150" s="79" t="str"/>
    </x:row>
    <x:row r="151" ht="92" customHeight="1">
      <x:c r="A151" s="54" t="n">
        <x:v>149</x:v>
      </x:c>
      <x:c r="B151" s="54" t="str">
        <x:v>sky.sun.conjunction.mercury</x:v>
      </x:c>
      <x:c r="C151" s="54" t="str">
        <x:v>Sun conjunction Mercury</x:v>
      </x:c>
      <x:c r="D151" s="54" t="str">
        <x:v>sun</x:v>
      </x:c>
      <x:c r="E151" s="54" t="str">
        <x:v>conjunction</x:v>
      </x:c>
      <x:c r="F151" s="54" t="str">
        <x:v>mercury</x:v>
      </x:c>
      <x:c r="G151" s="54" t="str">
        <x:v>A closed-door talk exposes who has been pulling the strings.</x:v>
      </x:c>
      <x:c r="H151" s="54" t="str">
        <x:v>A closed-door talk exposes who has been pulling the strings. A hidden conflict of interest, a secret clause, or unaccounted-for resources come out when someone presses for a straight answer. The Sun puts authority and loyalty under scrutiny, while Mercury follows the record until the hidden arrangement can no longer be dodged. Under the conjunction, the discovery and the decision land in the same conversation. Everyone in the room gets the answers they were missing, but the fallout draws a hard line around who gets trusted next time.</x:v>
      </x:c>
      <x:c r="I151" s="54" t="str">
        <x:v>owner-refined Sky aspect v10.1 corpus; owner direction, chat 2026-08-01</x:v>
      </x:c>
      <x:c r="J151" s="56" t="str">
        <x:v>A closed-door talk exposes who has been pulling the strings.</x:v>
      </x:c>
      <x:c r="K151" s="56" t="str">
        <x:v>A closed-door talk exposes who has been pulling the strings. Sun conjunct Mercury can bring a hidden conflict of interest, secret clause, or unaccounted-for resource into the same conversation as the decision about who is trusted next. The record matters because authority is already involved. Ask for the straight answer and the document behind it. Once the hidden arrangement is named, do not let the room solve the embarrassment faster than it solves the access or accountability problem.</x:v>
      </x:c>
      <x:c r="L151" s="56" t="str">
        <x:v>Completed generic pair-aspect fallback. Use only when sign/date context is unavailable.</x:v>
      </x:c>
      <x:c r="M151" s="56" t="str">
        <x:v>REVIEW READY</x:v>
      </x:c>
      <x:c r="N151" s="54" t="str">
        <x:v>packages/astro-knowledge/data/transits/sun-conjunction-mercury.json</x:v>
      </x:c>
      <x:c r="O151" s="71" t="str">
        <x:v>56b7bc6125e5e7db6e158db773f4963b9e4f9c77dc028e61225e31e8f43ff05f</x:v>
      </x:c>
      <x:c r="P151" s="75" t="str">
        <x:v>INCLUDE</x:v>
      </x:c>
      <x:c r="Q151" s="79" t="str"/>
    </x:row>
    <x:row r="152" ht="92" customHeight="1">
      <x:c r="A152" s="54" t="n">
        <x:v>150</x:v>
      </x:c>
      <x:c r="B152" s="54" t="str">
        <x:v>sky.sun.conjunction.moon</x:v>
      </x:c>
      <x:c r="C152" s="54" t="str">
        <x:v>Sun conjunction Moon</x:v>
      </x:c>
      <x:c r="D152" s="54" t="str">
        <x:v>sun</x:v>
      </x:c>
      <x:c r="E152" s="54" t="str">
        <x:v>conjunction</x:v>
      </x:c>
      <x:c r="F152" s="54" t="str">
        <x:v>moon</x:v>
      </x:c>
      <x:c r="G152" s="54" t="str">
        <x:v>A single deadline puts equal heat on the boss who set it and the team doing the work.</x:v>
      </x:c>
      <x:c r="H152" s="54" t="str">
        <x:v>A single deadline puts equal heat on the boss who set it and the team doing the work. The manager who picked the date has to defend it, while the people executing it calculate the late nights, missed care, and unfinished tasks. The Sun puts the command in full view, while the Moon makes the immediate human reaction part of the main story. Under the conjunction, the deadline and the reaction to it become part of the same story. The work may still get done, but the deadline exposes whether leadership planned for human limits or simply expected the team to absorb the damage.</x:v>
      </x:c>
      <x:c r="I152" s="54" t="str">
        <x:v>owner-refined Sky aspect v10.1 corpus; owner direction, chat 2026-08-01</x:v>
      </x:c>
      <x:c r="J152" s="56" t="str">
        <x:v>A single deadline puts equal heat on the boss who set it and the team doing the work.</x:v>
      </x:c>
      <x:c r="K152" s="56" t="str">
        <x:v>A single deadline puts equal heat on the boss who set it and the team doing the work. Sun conjunct Moon can make the official direction and the human reaction to it part of the same story, especially when late nights, missed care, or unfinished tasks are the cost of keeping the date. The work may still get done. That does not mean the deadline was well planned. Count the hours and tradeoffs before repeating the same timeline next time.</x:v>
      </x:c>
      <x:c r="L152" s="56" t="str">
        <x:v>Completed generic pair-aspect fallback. Use only when sign/date context is unavailable.</x:v>
      </x:c>
      <x:c r="M152" s="56" t="str">
        <x:v>REVIEW READY</x:v>
      </x:c>
      <x:c r="N152" s="54" t="str">
        <x:v>packages/astro-knowledge/data/transits/sun-conjunction-moon.json</x:v>
      </x:c>
      <x:c r="O152" s="71" t="str">
        <x:v>8d6f9251e7177f5e6f01f09c6c7bd2c9cb92bb4c5c219deef5497445f2dbdeeb</x:v>
      </x:c>
      <x:c r="P152" s="75" t="str">
        <x:v>INCLUDE</x:v>
      </x:c>
      <x:c r="Q152" s="79" t="str"/>
    </x:row>
    <x:row r="153" ht="92" customHeight="1">
      <x:c r="A153" s="54" t="n">
        <x:v>151</x:v>
      </x:c>
      <x:c r="B153" s="54" t="str">
        <x:v>sky.sun.opposition.moon</x:v>
      </x:c>
      <x:c r="C153" s="54" t="str">
        <x:v>Sun opposition Moon</x:v>
      </x:c>
      <x:c r="D153" s="54" t="str">
        <x:v>sun</x:v>
      </x:c>
      <x:c r="E153" s="54" t="str">
        <x:v>opposition</x:v>
      </x:c>
      <x:c r="F153" s="54" t="str">
        <x:v>moon</x:v>
      </x:c>
      <x:c r="G153" s="54" t="str">
        <x:v>The official narrative says the shift is necessary, while the people living with it describe a completely different reality.</x:v>
      </x:c>
      <x:c r="H153" s="54" t="str">
        <x:v>The official narrative says the shift is necessary, while the people living with it describe a completely different reality. Management points to budgets, deadlines, and authority; staff, parents, or residents point to lost pay, canceled care, and broken routines. The Sun holds the executive line, while the Moon gives the human cost a voice that can't be edited out of the room. The opposition puts both sides on display at the exact same time. A compromise might be possible, but only after leadership admits who is actually paying the price.</x:v>
      </x:c>
      <x:c r="I153" s="54" t="str">
        <x:v>owner-refined Sky aspect v10.1 corpus; owner direction, chat 2026-08-01</x:v>
      </x:c>
      <x:c r="J153" s="56" t="str">
        <x:v>Leadership may call a change necessary while the people living with it are losing pay, childcare, transportation, or the routine that made the old plan workable.</x:v>
      </x:c>
      <x:c r="K153" s="56" t="str">
        <x:v>Leadership may call a change necessary while the people living with it are losing pay, childcare, transportation, or the routine that made the old plan workable. The opposition between the Sun and Moon can put the official decision directly across from its human cost, making it difficult to keep one version of the story in charge. A budget can explain why the policy changed without answering who is expected to absorb the disruption. Put that cost into the decision before calling the plan complete. If the same people are always asked to adjust, the compromise is not evenly shared.</x:v>
      </x:c>
      <x:c r="L153" s="56" t="str">
        <x:v>Completed generic pair-aspect fallback. Use only when sign/date context is unavailable.</x:v>
      </x:c>
      <x:c r="M153" s="56" t="str">
        <x:v>REVIEW READY</x:v>
      </x:c>
      <x:c r="N153" s="54" t="str">
        <x:v>packages/astro-knowledge/data/transits/sun-opposition-moon.json</x:v>
      </x:c>
      <x:c r="O153" s="71" t="str">
        <x:v>39d9028365b9060e60256e663265e943db9756f016c3e5717126f442c6c48c27</x:v>
      </x:c>
      <x:c r="P153" s="75" t="str">
        <x:v>INCLUDE</x:v>
      </x:c>
      <x:c r="Q153" s="79" t="str"/>
    </x:row>
    <x:row r="154" ht="92" customHeight="1">
      <x:c r="A154" s="54" t="n">
        <x:v>152</x:v>
      </x:c>
      <x:c r="B154" s="54" t="str">
        <x:v>sky.sun.square.moon</x:v>
      </x:c>
      <x:c r="C154" s="54" t="str">
        <x:v>Sun square Moon</x:v>
      </x:c>
      <x:c r="D154" s="54" t="str">
        <x:v>sun</x:v>
      </x:c>
      <x:c r="E154" s="54" t="str">
        <x:v>square</x:v>
      </x:c>
      <x:c r="F154" s="54" t="str">
        <x:v>moon</x:v>
      </x:c>
      <x:c r="G154" s="54" t="str">
        <x:v>The email lands before the meeting, and the inbox explodes before anyone knows the full story.</x:v>
      </x:c>
      <x:c r="H154" s="54" t="str">
        <x:v>The email lands before the meeting, and the inbox explodes before anyone knows the full story. People start scrambling to adjust care, transport, and work schedules around a decision leadership hasn't bothered to explain. The Sun makes the command official, while the Moon exposes every basic human need the announcement ignored. Under the square, the fallout keeps landing back on the person who signed off on it until leadership addresses the room directly. The policy might survive the pushback, but trust doesn't recover on the same timeline as the schedule.</x:v>
      </x:c>
      <x:c r="I154" s="54" t="str">
        <x:v>owner-refined Sky aspect v10.1 corpus; owner direction, chat 2026-08-01</x:v>
      </x:c>
      <x:c r="J154" s="56" t="str">
        <x:v>The email goes out before the meeting, and everyone starts rearranging care, transportation, and work before leadership has explained what changed.</x:v>
      </x:c>
      <x:c r="K154" s="56" t="str">
        <x:v>The email goes out before the meeting, and everyone starts rearranging care, transportation, and work before leadership has explained what changed. Sun square Moon can turn a decision made at the top into immediate disruption for the people expected to live with it. The policy may survive the pushback, but trust will not recover just because the calendar does. Explain the change before asking people to reorganize their day around it. If there is no way to avoid the disruption, give people enough time and information to plan for the part that lands on them.</x:v>
      </x:c>
      <x:c r="L154" s="56" t="str">
        <x:v>Completed generic pair-aspect fallback. Use only when sign/date context is unavailable.</x:v>
      </x:c>
      <x:c r="M154" s="56" t="str">
        <x:v>REVIEW READY</x:v>
      </x:c>
      <x:c r="N154" s="54" t="str">
        <x:v>packages/astro-knowledge/data/transits/sun-square-moon.json</x:v>
      </x:c>
      <x:c r="O154" s="71" t="str">
        <x:v>a647a26c1e5651a40317f61c151676c87fa0d445614114873866f72ed4de70fc</x:v>
      </x:c>
      <x:c r="P154" s="75" t="str">
        <x:v>INCLUDE</x:v>
      </x:c>
      <x:c r="Q154" s="79" t="str"/>
    </x:row>
    <x:row r="155" ht="92" customHeight="1">
      <x:c r="A155" s="54" t="n">
        <x:v>153</x:v>
      </x:c>
      <x:c r="B155" s="54" t="str">
        <x:v>sky.sun.trine.moon</x:v>
      </x:c>
      <x:c r="C155" s="54" t="str">
        <x:v>Sun trine Moon</x:v>
      </x:c>
      <x:c r="D155" s="54" t="str">
        <x:v>sun</x:v>
      </x:c>
      <x:c r="E155" s="54" t="str">
        <x:v>trine</x:v>
      </x:c>
      <x:c r="F155" s="54" t="str">
        <x:v>moon</x:v>
      </x:c>
      <x:c r="G155" s="54" t="str">
        <x:v>The memo explains what is changing and why, shutting down rumors before they start.</x:v>
      </x:c>
      <x:c r="H155" s="54" t="str">
        <x:v>The memo explains what is changing and why, shutting down rumors before they start. It includes revised hours, direct contacts, and the practical support people need before the new plan becomes official. The Sun puts authority behind the decision, while the Moon keeps its real-world impact in full view. The trine keeps the messaging and practical support moving together, heading off confusion before it turns into resentment. Not everyone will agree with the move, but nobody is left guessing what actually happened.</x:v>
      </x:c>
      <x:c r="I155" s="54" t="str">
        <x:v>owner-refined Sky aspect v10.1 corpus; owner direction, chat 2026-08-01</x:v>
      </x:c>
      <x:c r="J155" s="56" t="str">
        <x:v>A difficult change is easier to absorb when the explanation arrives with the details people need to plan around it.</x:v>
      </x:c>
      <x:c r="K155" s="56" t="str">
        <x:v>A difficult change is easier to absorb when the explanation arrives with the details people need to plan around it. Sun trine Moon can help leadership and the people affected by a decision move in the same direction because the practical consequences are included from the beginning. Revised hours, direct contacts, childcare, or another small accommodation can prevent a reasonable change from becoming an unnecessary mess. Say what is changing, why it is changing, and what support is already in place. People do not have to like the decision to understand what happens next.</x:v>
      </x:c>
      <x:c r="L155" s="56" t="str">
        <x:v>Completed generic pair-aspect fallback. Use only when sign/date context is unavailable.</x:v>
      </x:c>
      <x:c r="M155" s="56" t="str">
        <x:v>REVIEW READY</x:v>
      </x:c>
      <x:c r="N155" s="54" t="str">
        <x:v>packages/astro-knowledge/data/transits/sun-trine-moon.json</x:v>
      </x:c>
      <x:c r="O155" s="71" t="str">
        <x:v>553c0711c32017d9469e7b91b7d739f631922722a9fb861534940c462b7c77fa</x:v>
      </x:c>
      <x:c r="P155" s="75" t="str">
        <x:v>INCLUDE</x:v>
      </x:c>
      <x:c r="Q155" s="79" t="str"/>
    </x:row>
    <x:row r="156" ht="92" customHeight="1">
      <x:c r="A156" s="54" t="n">
        <x:v>154</x:v>
      </x:c>
      <x:c r="B156" s="54" t="str">
        <x:v>sky.sun.sextile.moon</x:v>
      </x:c>
      <x:c r="C156" s="54" t="str">
        <x:v>Sun sextile Moon</x:v>
      </x:c>
      <x:c r="D156" s="54" t="str">
        <x:v>sun</x:v>
      </x:c>
      <x:c r="E156" s="54" t="str">
        <x:v>sextile</x:v>
      </x:c>
      <x:c r="F156" s="54" t="str">
        <x:v>moon</x:v>
      </x:c>
      <x:c r="G156" s="54" t="str">
        <x:v>A policy update comes down with enough lead time for someone to catch the detail that would derail daily routines.</x:v>
      </x:c>
      <x:c r="H156" s="54" t="str">
        <x:v>A policy update comes down with enough lead time for someone to catch the detail that would derail daily routines. A coordinator steps in, adding childcare, transit options, or a short grace period before the rule goes live. The Sun gives the decision official backing, while the Moon keeps the focus on the actual people who have to rearrange their lives around it. An opportunity opens under the sextile, but someone still has to take initiative before the plan locks in. The change goes through without forcing people to absorb a preventable mess.</x:v>
      </x:c>
      <x:c r="I156" s="54" t="str">
        <x:v>owner-refined Sky aspect v10.1 corpus; owner direction, chat 2026-08-01</x:v>
      </x:c>
      <x:c r="J156" s="56" t="str">
        <x:v>A policy change is announced early enough for someone to catch the detail that would have created a much bigger problem later.</x:v>
      </x:c>
      <x:c r="K156" s="56" t="str">
        <x:v>A policy change is announced early enough for someone to catch the detail that would have created a much bigger problem later. The sextile between the Sun and Moon can create room for an official decision to adjust to the people who actually have to live with it. A grace period, transit option, childcare plan, or revised start date may be enough to keep one rule from derailing an entire week. Use the lead time. Ask who will have to rearrange the most before the policy is locked, then fix the preventable problem while the plan can still move.</x:v>
      </x:c>
      <x:c r="L156" s="56" t="str">
        <x:v>Completed generic pair-aspect fallback. Use only when sign/date context is unavailable.</x:v>
      </x:c>
      <x:c r="M156" s="56" t="str">
        <x:v>REVIEW READY</x:v>
      </x:c>
      <x:c r="N156" s="54" t="str">
        <x:v>packages/astro-knowledge/data/transits/sun-sextile-moon.json</x:v>
      </x:c>
      <x:c r="O156" s="71" t="str">
        <x:v>7cc5ed56df2c231e373c5886b9cda227a7c5c58b4f7aee961f07f44d0823c3ba</x:v>
      </x:c>
      <x:c r="P156" s="75" t="str">
        <x:v>INCLUDE</x:v>
      </x:c>
      <x:c r="Q156" s="79" t="str"/>
    </x:row>
    <x:row r="157" ht="92" customHeight="1">
      <x:c r="A157" s="54" t="n">
        <x:v>155</x:v>
      </x:c>
      <x:c r="B157" s="54" t="str">
        <x:v>sky.sun.conjunction.neptune</x:v>
      </x:c>
      <x:c r="C157" s="54" t="str">
        <x:v>Sun conjunction Neptune</x:v>
      </x:c>
      <x:c r="D157" s="54" t="str">
        <x:v>sun</x:v>
      </x:c>
      <x:c r="E157" s="54" t="str">
        <x:v>conjunction</x:v>
      </x:c>
      <x:c r="F157" s="54" t="str">
        <x:v>neptune</x:v>
      </x:c>
      <x:c r="G157" s="54" t="str">
        <x:v>A founder becomes a screen for the crowd's expectations.</x:v>
      </x:c>
      <x:c r="H157" s="54" t="str">
        <x:v>A founder becomes a screen for the crowd's expectations. Supporters read rescue, healing, creativity, or moral certainty into every appearance while ordinary limits disappear from the conversation. The Sun holds the public identity, while Neptune surrounds that identity with longing, projection, and an idealized story. Under the conjunction, the person and the dream become almost impossible for the audience to separate. The devotion may be sincere, but one human mistake can feel like betrayal to people who expected proof that the dream was real.</x:v>
      </x:c>
      <x:c r="I157" s="54" t="str">
        <x:v>owner-refined Sky aspect v10.1 corpus; owner direction, chat 2026-08-01</x:v>
      </x:c>
      <x:c r="J157" s="56" t="str">
        <x:v>A founder, candidate, or public figure can become the answer to needs no one person could realistically satisfy.</x:v>
      </x:c>
      <x:c r="K157" s="56" t="str">
        <x:v>A founder, candidate, or public figure can become the answer to needs no one person could realistically satisfy. Sun conjunct Neptune can blur the line between who someone is and what supporters hope they represent, especially when rescue, healing, creativity, or moral certainty has been projected onto the role. The devotion may be sincere, but it becomes fragile when ordinary mistakes are treated like betrayal. Keep the person separate from the promise. Judge the work by what is actually delivered, not by how much hope the public figure has come to carry for everyone else.</x:v>
      </x:c>
      <x:c r="L157" s="56" t="str">
        <x:v>Completed generic pair-aspect fallback. Use only when sign/date context is unavailable.</x:v>
      </x:c>
      <x:c r="M157" s="56" t="str">
        <x:v>REVIEW READY</x:v>
      </x:c>
      <x:c r="N157" s="54" t="str">
        <x:v>packages/astro-knowledge/data/transits/sun-conjunction-neptune.json</x:v>
      </x:c>
      <x:c r="O157" s="71" t="str">
        <x:v>9f01b9492e2a09683162c6f182ae46ed2a30436653256a48dce50ea902790a3c</x:v>
      </x:c>
      <x:c r="P157" s="75" t="str">
        <x:v>INCLUDE</x:v>
      </x:c>
      <x:c r="Q157" s="79" t="str"/>
    </x:row>
    <x:row r="158" ht="92" customHeight="1">
      <x:c r="A158" s="54" t="n">
        <x:v>156</x:v>
      </x:c>
      <x:c r="B158" s="54" t="str">
        <x:v>sky.sun.opposition.neptune</x:v>
      </x:c>
      <x:c r="C158" s="54" t="str">
        <x:v>Sun opposition Neptune</x:v>
      </x:c>
      <x:c r="D158" s="54" t="str">
        <x:v>sun</x:v>
      </x:c>
      <x:c r="E158" s="54" t="str">
        <x:v>opposition</x:v>
      </x:c>
      <x:c r="F158" s="54" t="str">
        <x:v>neptune</x:v>
      </x:c>
      <x:c r="G158" s="54" t="str">
        <x:v>The leader onstage describes a rescue while the people doing the work describe a plan with no budget, staffing, or measurable end.</x:v>
      </x:c>
      <x:c r="H158" s="54" t="str">
        <x:v>The leader onstage describes a rescue while the people doing the work describe a plan with no budget, staffing, or measurable end. Supporters hold to the hope in the speech; operators point to the missing details that make delivery impossible. The Sun keeps the spotlight on the public figure and promise, while Neptune gives the vision enough emotional force to outrun the record. The opposition forces the inspiring image to face the confusion required to maintain it. The cause may be legitimate, but belief starts to fracture when everyone realizes they were supporting a different version of the promise.</x:v>
      </x:c>
      <x:c r="I158" s="54" t="str">
        <x:v>owner-refined Sky aspect v10.1 corpus; owner direction, chat 2026-08-01</x:v>
      </x:c>
      <x:c r="J158" s="56" t="str">
        <x:v>The leader onstage describes a rescue while the staff doing the work are still asking where the money, people, and measurable end point are.</x:v>
      </x:c>
      <x:c r="K158" s="56" t="str">
        <x:v>The leader onstage describes a rescue while the staff doing the work are still asking where the money, people, and measurable end point are. Sun opposite Neptune can put an inspiring public story directly against the practical confusion underneath it. Both sides may believe in the cause. The problem is that belief does not tell anyone what was promised or who is responsible for delivering it. Compare the speech with the budget, staffing, and timeline. If those documents describe a smaller plan, the public promise needs to get smaller too.</x:v>
      </x:c>
      <x:c r="L158" s="56" t="str">
        <x:v>Completed generic pair-aspect fallback. Use only when sign/date context is unavailable.</x:v>
      </x:c>
      <x:c r="M158" s="56" t="str">
        <x:v>REVIEW READY</x:v>
      </x:c>
      <x:c r="N158" s="54" t="str">
        <x:v>packages/astro-knowledge/data/transits/sun-opposition-neptune.json</x:v>
      </x:c>
      <x:c r="O158" s="71" t="str">
        <x:v>7f4f14ec88775d0cbb3c2ba25f8bd8d384fb07443aed24d9c0e7f86ceb82b89a</x:v>
      </x:c>
      <x:c r="P158" s="75" t="str">
        <x:v>INCLUDE</x:v>
      </x:c>
      <x:c r="Q158" s="79" t="str"/>
    </x:row>
    <x:row r="159" ht="92" customHeight="1">
      <x:c r="A159" s="54" t="n">
        <x:v>157</x:v>
      </x:c>
      <x:c r="B159" s="54" t="str">
        <x:v>sky.sun.square.neptune</x:v>
      </x:c>
      <x:c r="C159" s="54" t="str">
        <x:v>Sun square Neptune</x:v>
      </x:c>
      <x:c r="D159" s="54" t="str">
        <x:v>sun</x:v>
      </x:c>
      <x:c r="E159" s="54" t="str">
        <x:v>square</x:v>
      </x:c>
      <x:c r="F159" s="54" t="str">
        <x:v>neptune</x:v>
      </x:c>
      <x:c r="G159" s="54" t="str">
        <x:v>A polished pitch deck wins the vote with its numbers unread.</x:v>
      </x:c>
      <x:c r="H159" s="54" t="str">
        <x:v>A polished pitch deck wins the vote with its numbers unread. The headlines repeat the promise while missing money, unclear results, and unanswered questions remain outside the frame. The Sun protects the image of the person or project, while Neptune softens every detail that could interrupt the story. The square keeps the public identity under pressure as facts refuse to match the promise built around it. The image may continue to inspire people, but each unanswered question makes trust harder to recover when the numbers finally arrive.</x:v>
      </x:c>
      <x:c r="I159" s="54" t="str">
        <x:v>owner-refined Sky aspect v10.1 corpus; owner direction, chat 2026-08-01</x:v>
      </x:c>
      <x:c r="J159" s="56" t="str">
        <x:v>A polished pitch can win the room before anyone reads the numbers closely.</x:v>
      </x:c>
      <x:c r="K159" s="56" t="str">
        <x:v>A polished pitch can win the room before anyone reads the numbers closely. Sun square Neptune can make the image of a person or project more convincing at the exact moment the missing details matter most, especially when a good story makes basic questions feel cynical. The weakness is usually ordinary: money that is not accounted for, results nobody has defined, or a promise that cannot be checked. Read the budget and the terms before voting on the vision. A compelling presentation should survive the same questions as an unglamorous one.</x:v>
      </x:c>
      <x:c r="L159" s="56" t="str">
        <x:v>Completed generic pair-aspect fallback. Use only when sign/date context is unavailable.</x:v>
      </x:c>
      <x:c r="M159" s="56" t="str">
        <x:v>REVIEW READY</x:v>
      </x:c>
      <x:c r="N159" s="54" t="str">
        <x:v>packages/astro-knowledge/data/transits/sun-square-neptune.json</x:v>
      </x:c>
      <x:c r="O159" s="71" t="str">
        <x:v>c07f7f1a91f24a6517dabc4719270a451fc28a37f9edc61842dce6734a508ef6</x:v>
      </x:c>
      <x:c r="P159" s="75" t="str">
        <x:v>INCLUDE</x:v>
      </x:c>
      <x:c r="Q159" s="79" t="str"/>
    </x:row>
    <x:row r="160" ht="92" customHeight="1">
      <x:c r="A160" s="54" t="n">
        <x:v>158</x:v>
      </x:c>
      <x:c r="B160" s="54" t="str">
        <x:v>sky.sun.trine.neptune</x:v>
      </x:c>
      <x:c r="C160" s="54" t="str">
        <x:v>Sun trine Neptune</x:v>
      </x:c>
      <x:c r="D160" s="54" t="str">
        <x:v>sun</x:v>
      </x:c>
      <x:c r="E160" s="54" t="str">
        <x:v>trine</x:v>
      </x:c>
      <x:c r="F160" s="54" t="str">
        <x:v>neptune</x:v>
      </x:c>
      <x:c r="G160" s="54" t="str">
        <x:v>A memorial, film, benefit, or public statement gives a shared feeling the exact form it needed.</x:v>
      </x:c>
      <x:c r="H160" s="54" t="str">
        <x:v>A memorial, film, benefit, or public statement gives a shared feeling the exact form it needed. The person at the center does not have to oversell the pain; the images, testimony, and invitation make the purpose clear enough for people to respond. The Sun gives the vision a visible identity, while Neptune carries the emotional meaning beyond the original room. Under the trine, the message and the feeling move together without forcing an explanation into every empty space. The work reaches people because its public face makes room for empathy without pretending to own everyone else's grief.</x:v>
      </x:c>
      <x:c r="I160" s="54" t="str">
        <x:v>owner-refined Sky aspect v10.1 corpus; owner direction, chat 2026-08-01</x:v>
      </x:c>
      <x:c r="J160" s="56" t="str">
        <x:v>A memorial, film, benefit, or public statement may give a shared feeling exactly enough form for people to respond to it.</x:v>
      </x:c>
      <x:c r="K160" s="56" t="str">
        <x:v>A memorial, film, benefit, or public statement may give a shared feeling exactly enough form for people to respond to it. Sun trine Neptune can help a visible person or project carry grief, compassion, or imagination without forcing the message into something colder than the experience itself. The strongest version does not need to exaggerate the pain. It gives people a place to put their attention, money, or support while keeping the people at the center human. Let the work be moving. Keep the facts, permissions, and purpose intact while it moves people.</x:v>
      </x:c>
      <x:c r="L160" s="56" t="str">
        <x:v>Completed generic pair-aspect fallback. Use only when sign/date context is unavailable.</x:v>
      </x:c>
      <x:c r="M160" s="56" t="str">
        <x:v>REVIEW READY</x:v>
      </x:c>
      <x:c r="N160" s="54" t="str">
        <x:v>packages/astro-knowledge/data/transits/sun-trine-neptune.json</x:v>
      </x:c>
      <x:c r="O160" s="71" t="str">
        <x:v>a072923fe23b354883781695d3bcf5fa6d44c132232da4550be628ff376015d3</x:v>
      </x:c>
      <x:c r="P160" s="75" t="str">
        <x:v>INCLUDE</x:v>
      </x:c>
      <x:c r="Q160" s="79" t="str"/>
    </x:row>
    <x:row r="161" ht="92" customHeight="1">
      <x:c r="A161" s="54" t="n">
        <x:v>159</x:v>
      </x:c>
      <x:c r="B161" s="54" t="str">
        <x:v>sky.sun.sextile.neptune</x:v>
      </x:c>
      <x:c r="C161" s="54" t="str">
        <x:v>Sun sextile Neptune</x:v>
      </x:c>
      <x:c r="D161" s="54" t="str">
        <x:v>sun</x:v>
      </x:c>
      <x:c r="E161" s="54" t="str">
        <x:v>sextile</x:v>
      </x:c>
      <x:c r="F161" s="54" t="str">
        <x:v>neptune</x:v>
      </x:c>
      <x:c r="G161" s="54" t="str">
        <x:v>A vague hope becomes a named campaign with a direct donation link.</x:v>
      </x:c>
      <x:c r="H161" s="54" t="str">
        <x:v>A vague hope becomes a named campaign with a direct donation link. A producer, organizer, or local leader gives the concern a budget, a public face, and a first event people can actually support. The Sun gives the vision a named leader, budget, and deadline, while Neptune connects it to grief, imagination, compassion, or collective longing. The sextile offers the idea a usable form, but someone still has to build the place where support can land. The campaign earns trust because people understand what they are contributing to and where the money is going.</x:v>
      </x:c>
      <x:c r="I161" s="54" t="str">
        <x:v>owner-refined Sky aspect v10.1 corpus; owner direction, chat 2026-08-01</x:v>
      </x:c>
      <x:c r="J161" s="56" t="str">
        <x:v>A vague hope becomes a campaign people can actually support once it has a name, a budget, and somewhere for the money to go.</x:v>
      </x:c>
      <x:c r="K161" s="56" t="str">
        <x:v>A vague hope becomes a campaign people can actually support once it has a name, a budget, and somewhere for the money to go. Sun sextile Neptune can help a compassionate or creative idea find a public form without requiring the whole vision to be finished first. A donation link, first event, named organizer, or clear beneficiary may be enough to turn concern into useful participation. Make the first promise specific. People should know what they are contributing to, who is responsible for it, and what the first round of support is meant to accomplish.</x:v>
      </x:c>
      <x:c r="L161" s="56" t="str">
        <x:v>Completed generic pair-aspect fallback. Use only when sign/date context is unavailable.</x:v>
      </x:c>
      <x:c r="M161" s="56" t="str">
        <x:v>REVIEW READY</x:v>
      </x:c>
      <x:c r="N161" s="54" t="str">
        <x:v>packages/astro-knowledge/data/transits/sun-sextile-neptune.json</x:v>
      </x:c>
      <x:c r="O161" s="71" t="str">
        <x:v>e4220771051d0cfc1f0717421ac39368b0f0ebed26ff8b94c1b89e0e30fb450b</x:v>
      </x:c>
      <x:c r="P161" s="75" t="str">
        <x:v>INCLUDE</x:v>
      </x:c>
      <x:c r="Q161" s="79" t="str"/>
    </x:row>
    <x:row r="162" ht="92" customHeight="1">
      <x:c r="A162" s="54" t="n">
        <x:v>160</x:v>
      </x:c>
      <x:c r="B162" s="54" t="str">
        <x:v>sky.sun.conjunction.pluto</x:v>
      </x:c>
      <x:c r="C162" s="54" t="str">
        <x:v>Sun conjunction Pluto</x:v>
      </x:c>
      <x:c r="D162" s="54" t="str">
        <x:v>sun</x:v>
      </x:c>
      <x:c r="E162" s="54" t="str">
        <x:v>conjunction</x:v>
      </x:c>
      <x:c r="F162" s="54" t="str">
        <x:v>pluto</x:v>
      </x:c>
      <x:c r="G162" s="54" t="str">
        <x:v>One signature moves budgets and headlines together like a verdict.</x:v>
      </x:c>
      <x:c r="H162" s="54" t="str">
        <x:v>One signature moves budgets and headlines together like a verdict. A merger, election, succession, or internal takeover places public authority and control of money or information in the same hands. The Sun concentrates attention on the person in charge, while Pluto deepens their control over access and consequence. Under the conjunction, the title and the leverage behind it become one source of power. The consolidation may produce decisive action while leaving fewer people able to challenge the decision or correct the public record.</x:v>
      </x:c>
      <x:c r="I162" s="54" t="str">
        <x:v>owner-refined Sky aspect v10.1 corpus; owner direction, chat 2026-08-01</x:v>
      </x:c>
      <x:c r="J162" s="56" t="str">
        <x:v>One signature can move the budget, the public story, and the decision-making power at the same time.</x:v>
      </x:c>
      <x:c r="K162" s="56" t="str">
        <x:v>One signature can move the budget, the public story, and the decision-making power at the same time. Sun conjunct Pluto can concentrate visible authority and the leverage behind it in the same hands, which makes a merger, succession, election, or takeover feel decisive very quickly. The question is what becomes harder to challenge once the change is complete. Follow the title to the money, records, and access that come with it. If one person can make the decision and control the information used to review it, the new structure needs more oversight, not less.</x:v>
      </x:c>
      <x:c r="L162" s="56" t="str">
        <x:v>Completed generic pair-aspect fallback. Use only when sign/date context is unavailable.</x:v>
      </x:c>
      <x:c r="M162" s="56" t="str">
        <x:v>REVIEW READY</x:v>
      </x:c>
      <x:c r="N162" s="54" t="str">
        <x:v>packages/astro-knowledge/data/transits/sun-conjunction-pluto.json</x:v>
      </x:c>
      <x:c r="O162" s="71" t="str">
        <x:v>b8dd70377d7a4a41f667812b4f0071d18809e5c04b16d8b9921a1c0e5096d8d8</x:v>
      </x:c>
      <x:c r="P162" s="75" t="str">
        <x:v>INCLUDE</x:v>
      </x:c>
      <x:c r="Q162" s="79" t="str"/>
    </x:row>
    <x:row r="163" ht="92" customHeight="1">
      <x:c r="A163" s="54" t="n">
        <x:v>161</x:v>
      </x:c>
      <x:c r="B163" s="54" t="str">
        <x:v>sky.sun.opposition.pluto</x:v>
      </x:c>
      <x:c r="C163" s="54" t="str">
        <x:v>Sun opposition Pluto</x:v>
      </x:c>
      <x:c r="D163" s="54" t="str">
        <x:v>sun</x:v>
      </x:c>
      <x:c r="E163" s="54" t="str">
        <x:v>opposition</x:v>
      </x:c>
      <x:c r="F163" s="54" t="str">
        <x:v>pluto</x:v>
      </x:c>
      <x:c r="G163" s="54" t="str">
        <x:v>The person with the title faces the person who controls the money, records, or access required to make the title matter.</x:v>
      </x:c>
      <x:c r="H163" s="54" t="str">
        <x:v>The person with the title faces the person who controls the money, records, or access required to make the title matter. One side claims public authority; the other can delay, narrow, or quietly disable every decision made without its consent. The Sun holds the title, while Pluto points directly to the money, records, and access making that title useful. The opposition forces formal leadership to face the private control making its decisions optional. The outcome may settle who signs the order, but it also shows who can make that signature useless.</x:v>
      </x:c>
      <x:c r="I163" s="54" t="str">
        <x:v>owner-refined Sky aspect v10.1 corpus; owner direction, chat 2026-08-01</x:v>
      </x:c>
      <x:c r="J163" s="56" t="str">
        <x:v>The person with the title may discover that someone else still controls the money, records, or access required to make the title matter.</x:v>
      </x:c>
      <x:c r="K163" s="56" t="str">
        <x:v>The person with the title may discover that someone else still controls the money, records, or access required to make the title matter. Sun opposite Pluto can expose the difference between public authority and private leverage when one side can announce the decision and the other can quietly delay or disable it. That is not a personality clash. It is a problem in how power is divided. Put the decision rights on paper. If the person responsible for the outcome cannot access the resources needed to act, fix the structure before blaming either side for the stalemate.</x:v>
      </x:c>
      <x:c r="L163" s="56" t="str">
        <x:v>Completed generic pair-aspect fallback. Use only when sign/date context is unavailable.</x:v>
      </x:c>
      <x:c r="M163" s="56" t="str">
        <x:v>REVIEW READY</x:v>
      </x:c>
      <x:c r="N163" s="54" t="str">
        <x:v>packages/astro-knowledge/data/transits/sun-opposition-pluto.json</x:v>
      </x:c>
      <x:c r="O163" s="71" t="str">
        <x:v>f45d7345ca8d6ff6ac6592e7f0dc25228551965904ad331d98cfa85d3aa80bf9</x:v>
      </x:c>
      <x:c r="P163" s="75" t="str">
        <x:v>INCLUDE</x:v>
      </x:c>
      <x:c r="Q163" s="79" t="str"/>
    </x:row>
    <x:row r="164" ht="92" customHeight="1">
      <x:c r="A164" s="54" t="n">
        <x:v>162</x:v>
      </x:c>
      <x:c r="B164" s="54" t="str">
        <x:v>sky.sun.square.pluto</x:v>
      </x:c>
      <x:c r="C164" s="54" t="str">
        <x:v>Sun square Pluto</x:v>
      </x:c>
      <x:c r="D164" s="54" t="str">
        <x:v>sun</x:v>
      </x:c>
      <x:c r="E164" s="54" t="str">
        <x:v>square</x:v>
      </x:c>
      <x:c r="F164" s="54" t="str">
        <x:v>pluto</x:v>
      </x:c>
      <x:c r="G164" s="54" t="str">
        <x:v>Two versions of the decision circulate, each edited to protect its author and blame the other side.</x:v>
      </x:c>
      <x:c r="H164" s="54" t="str">
        <x:v>Two versions of the decision circulate, each edited to protect its author and blame the other side. Credit disappears from one account, damaging details vanish from another, and both parties use private access to make their version look official. The Sun defends recognition and public authority, while Pluto uses leverage, records, and control of information to determine what can be seen. The square turns the competing statements into a direct fight over who gets to define what happened. One version may win the news cycle, but trust collapses around the methods used to make it dominant.</x:v>
      </x:c>
      <x:c r="I164" s="54" t="str">
        <x:v>owner-refined Sky aspect v10.1 corpus; owner direction, chat 2026-08-01</x:v>
      </x:c>
      <x:c r="J164" s="56" t="str">
        <x:v>Two versions of the same decision circulate, each edited to protect its author and make the other side look responsible.</x:v>
      </x:c>
      <x:c r="K164" s="56" t="str">
        <x:v>Two versions of the same decision circulate, each edited to protect its author and make the other side look responsible. Sun square Pluto can turn a dispute over credit or leadership into a fight over the record itself, especially when private access lets someone remove context, withhold documents, or decide which account looks official. A public argument cannot repair a missing paper trail. Preserve the emails, approvals, dates, and original files. When control of the story has become part of the conflict, the record needs to exist somewhere neither side can quietly rewrite it.</x:v>
      </x:c>
      <x:c r="L164" s="56" t="str">
        <x:v>Completed generic pair-aspect fallback. Use only when sign/date context is unavailable.</x:v>
      </x:c>
      <x:c r="M164" s="56" t="str">
        <x:v>REVIEW READY</x:v>
      </x:c>
      <x:c r="N164" s="54" t="str">
        <x:v>packages/astro-knowledge/data/transits/sun-square-pluto.json</x:v>
      </x:c>
      <x:c r="O164" s="71" t="str">
        <x:v>b370c1db2cf126d6699f46b006877088a04f0dea68ae7e0daed0f2e0d60411e0</x:v>
      </x:c>
      <x:c r="P164" s="75" t="str">
        <x:v>INCLUDE</x:v>
      </x:c>
      <x:c r="Q164" s="79" t="str"/>
    </x:row>
    <x:row r="165" ht="92" customHeight="1">
      <x:c r="A165" s="54" t="n">
        <x:v>163</x:v>
      </x:c>
      <x:c r="B165" s="54" t="str">
        <x:v>sky.sun.trine.pluto</x:v>
      </x:c>
      <x:c r="C165" s="54" t="str">
        <x:v>Sun trine Pluto</x:v>
      </x:c>
      <x:c r="D165" s="54" t="str">
        <x:v>sun</x:v>
      </x:c>
      <x:c r="E165" s="54" t="str">
        <x:v>trine</x:v>
      </x:c>
      <x:c r="F165" s="54" t="str">
        <x:v>pluto</x:v>
      </x:c>
      <x:c r="G165" s="54" t="str">
        <x:v>A transfer of authority happens with the budgets, access, and consequences clearly attached.</x:v>
      </x:c>
      <x:c r="H165" s="54" t="str">
        <x:v>A transfer of authority happens with the budgets, access, and consequences clearly attached. Records are opened, conflicts are disclosed, and the person taking charge is required to show how decisions will be reviewed. The Sun puts leadership under public scrutiny, while Pluto names the deeper leverage shaping the outcome. Under the trine, the title and the leverage behind it come under the same review. The transition gains credibility because nobody has to pretend the title is separate from the power behind it.</x:v>
      </x:c>
      <x:c r="I165" s="54" t="str">
        <x:v>owner-refined Sky aspect v10.1 corpus; owner direction, chat 2026-08-01</x:v>
      </x:c>
      <x:c r="J165" s="56" t="str">
        <x:v>A transfer of authority works better when the budget, access, conflicts, and review process move with the title instead of being negotiated afterward.</x:v>
      </x:c>
      <x:c r="K165" s="56" t="str">
        <x:v>A transfer of authority works better when the budget, access, conflicts, and review process move with the title instead of being negotiated afterward. Sun trine Pluto can make leadership and deeper structural power support the same transition, which gives the new person enough leverage to do the job while making that leverage visible. Open the records and disclose the conflicts before the handoff is finished. The transition gains credibility when nobody has to pretend the title is separate from the money and control attached to it.</x:v>
      </x:c>
      <x:c r="L165" s="56" t="str">
        <x:v>Completed generic pair-aspect fallback. Use only when sign/date context is unavailable.</x:v>
      </x:c>
      <x:c r="M165" s="56" t="str">
        <x:v>REVIEW READY</x:v>
      </x:c>
      <x:c r="N165" s="54" t="str">
        <x:v>packages/astro-knowledge/data/transits/sun-trine-pluto.json</x:v>
      </x:c>
      <x:c r="O165" s="71" t="str">
        <x:v>22da79cfffd1131e32344bb682114545a5c48109bf724220e6aa586d209365b1</x:v>
      </x:c>
      <x:c r="P165" s="75" t="str">
        <x:v>INCLUDE</x:v>
      </x:c>
      <x:c r="Q165" s="79" t="str"/>
    </x:row>
    <x:row r="166" ht="92" customHeight="1">
      <x:c r="A166" s="54" t="n">
        <x:v>164</x:v>
      </x:c>
      <x:c r="B166" s="54" t="str">
        <x:v>sky.sun.sextile.pluto</x:v>
      </x:c>
      <x:c r="C166" s="54" t="str">
        <x:v>Sun sextile Pluto</x:v>
      </x:c>
      <x:c r="D166" s="54" t="str">
        <x:v>sun</x:v>
      </x:c>
      <x:c r="E166" s="54" t="str">
        <x:v>sextile</x:v>
      </x:c>
      <x:c r="F166" s="54" t="str">
        <x:v>pluto</x:v>
      </x:c>
      <x:c r="G166" s="54" t="str">
        <x:v>A meeting names who holds sign-off power and who absorbs the fallout.</x:v>
      </x:c>
      <x:c r="H166" s="54" t="str">
        <x:v>A meeting names who holds sign-off power and who absorbs the fallout. One disclosure, audit request, or contract review gives everyone at the table a chance to correct the power imbalance before the next decision becomes final. The Sun puts responsibility on the record, while Pluto exposes the control operating behind access, money, and private information. The sextile creates a narrow route toward accountability, but someone with standing still has to use it. The next decision carries more trust because authority is named before it is exercised again.</x:v>
      </x:c>
      <x:c r="I166" s="54" t="str">
        <x:v>owner-refined Sky aspect v10.1 corpus; owner direction, chat 2026-08-01</x:v>
      </x:c>
      <x:c r="J166" s="56" t="str">
        <x:v>One meeting may be enough to expose who has sign-off power and who is expected to absorb the consequences of the decision.</x:v>
      </x:c>
      <x:c r="K166" s="56" t="str">
        <x:v>One meeting may be enough to expose who has sign-off power and who is expected to absorb the consequences of the decision. Sun sextile Pluto can create an opening for an audit request, disclosure, or contract review to reach the part of the system where authority actually sits. Use the meeting for more than acknowledgment. Name who can approve the change, who controls the records or money, and what happens if the same problem returns. Accountability becomes useful when the next decision is harder to hide behind an unclear chain of command.</x:v>
      </x:c>
      <x:c r="L166" s="56" t="str">
        <x:v>Completed generic pair-aspect fallback. Use only when sign/date context is unavailable.</x:v>
      </x:c>
      <x:c r="M166" s="56" t="str">
        <x:v>REVIEW READY</x:v>
      </x:c>
      <x:c r="N166" s="54" t="str">
        <x:v>packages/astro-knowledge/data/transits/sun-sextile-pluto.json</x:v>
      </x:c>
      <x:c r="O166" s="71" t="str">
        <x:v>5ac177e3f9eea0f47fdc0655481b33d4b999beb01709ebf37cfa75ad81d0a1c0</x:v>
      </x:c>
      <x:c r="P166" s="75" t="str">
        <x:v>INCLUDE</x:v>
      </x:c>
      <x:c r="Q166" s="79" t="str"/>
    </x:row>
    <x:row r="167" ht="92" customHeight="1">
      <x:c r="A167" s="54" t="n">
        <x:v>165</x:v>
      </x:c>
      <x:c r="B167" s="54" t="str">
        <x:v>sky.sun.conjunction.saturn</x:v>
      </x:c>
      <x:c r="C167" s="54" t="str">
        <x:v>Sun conjunction Saturn</x:v>
      </x:c>
      <x:c r="D167" s="54" t="str">
        <x:v>sun</x:v>
      </x:c>
      <x:c r="E167" s="54" t="str">
        <x:v>conjunction</x:v>
      </x:c>
      <x:c r="F167" s="54" t="str">
        <x:v>saturn</x:v>
      </x:c>
      <x:c r="G167" s="54" t="str">
        <x:v>A promotion arrives stapled to a longer list of duties.</x:v>
      </x:c>
      <x:c r="H167" s="54" t="str">
        <x:v>A promotion arrives stapled to a longer list of duties. The new title comes with tighter scrutiny, a larger workload, and problems that were previously allowed to belong to someone else. The Sun puts authority on display, while Saturn attaches it to responsibility, limits, and consequences. Under the conjunction, the status and the burden arrive as one offer. The role may strengthen someone's position while making it much harder to admit what carrying that position is costing them.</x:v>
      </x:c>
      <x:c r="I167" s="54" t="str">
        <x:v>owner-refined Sky aspect v10.1 corpus; owner direction, chat 2026-08-01</x:v>
      </x:c>
      <x:c r="J167" s="56" t="str">
        <x:v>A promotion may arrive with the title, scrutiny, and a longer list of problems that now belong to the person being congratulated.</x:v>
      </x:c>
      <x:c r="K167" s="56" t="str">
        <x:v>A promotion may arrive with the title, scrutiny, and a longer list of problems that now belong to the person being congratulated. Sun conjunct Saturn can make recognition and responsibility part of the same offer, so the status looks better from the outside than the workload feels from inside the role. Read the duties as closely as the title. Ask what authority, pay, staff, and time come with the added responsibility. More responsibility should come with something that makes carrying it possible.</x:v>
      </x:c>
      <x:c r="L167" s="56" t="str">
        <x:v>Completed generic pair-aspect fallback. Use only when sign/date context is unavailable.</x:v>
      </x:c>
      <x:c r="M167" s="56" t="str">
        <x:v>REVIEW READY</x:v>
      </x:c>
      <x:c r="N167" s="54" t="str">
        <x:v>packages/astro-knowledge/data/transits/sun-conjunction-saturn.json</x:v>
      </x:c>
      <x:c r="O167" s="71" t="str">
        <x:v>05f9e3d451b0aa22e22392118be24a1d9fc0ab7b830a4160a1ee8cca257e9899</x:v>
      </x:c>
      <x:c r="P167" s="75" t="str">
        <x:v>INCLUDE</x:v>
      </x:c>
      <x:c r="Q167" s="79" t="str"/>
    </x:row>
    <x:row r="168" ht="92" customHeight="1">
      <x:c r="A168" s="54" t="n">
        <x:v>166</x:v>
      </x:c>
      <x:c r="B168" s="54" t="str">
        <x:v>sky.sun.opposition.saturn</x:v>
      </x:c>
      <x:c r="C168" s="54" t="str">
        <x:v>Sun opposition Saturn</x:v>
      </x:c>
      <x:c r="D168" s="54" t="str">
        <x:v>sun</x:v>
      </x:c>
      <x:c r="E168" s="54" t="str">
        <x:v>opposition</x:v>
      </x:c>
      <x:c r="F168" s="54" t="str">
        <x:v>saturn</x:v>
      </x:c>
      <x:c r="G168" s="54" t="str">
        <x:v>Leadership presents the decision as necessary while the person enforcing the limit explains why the promise cannot be kept.</x:v>
      </x:c>
      <x:c r="H168" s="54" t="str">
        <x:v>Leadership presents the decision as necessary while the person enforcing the limit explains why the promise cannot be kept. One side points to public expectations and momentum; the other points to law, money, staffing, or a duty that will still exist after the announcement. The Sun defends the public commitment, while Saturn backs the refusal with institutional authority. The opposition forces public ambition to answer the limit it was trying to talk around. The final plan may be smaller, but the people affected can see which promise was sacrificed to protect the larger structure.</x:v>
      </x:c>
      <x:c r="I168" s="54" t="str">
        <x:v>owner-refined Sky aspect v10.1 corpus; owner direction, chat 2026-08-01</x:v>
      </x:c>
      <x:c r="J168" s="56" t="str">
        <x:v>Leadership may promise a result that the person responsible for law, budget, staffing, or compliance already knows cannot be delivered as announced.</x:v>
      </x:c>
      <x:c r="K168" s="56" t="str">
        <x:v>Leadership may promise a result that the person responsible for law, budget, staffing, or compliance already knows cannot be delivered as announced. Sun opposite Saturn can force public ambition to face the limit it was trying to talk around. A smaller plan is not automatically a failure if it is the one the structure can actually support. Put the restriction into the public decision instead of leaving operations to explain it later. The promise should match what the people enforcing the limits are authorized and funded to deliver.</x:v>
      </x:c>
      <x:c r="L168" s="56" t="str">
        <x:v>Completed generic pair-aspect fallback. Use only when sign/date context is unavailable.</x:v>
      </x:c>
      <x:c r="M168" s="56" t="str">
        <x:v>REVIEW READY</x:v>
      </x:c>
      <x:c r="N168" s="54" t="str">
        <x:v>packages/astro-knowledge/data/transits/sun-opposition-saturn.json</x:v>
      </x:c>
      <x:c r="O168" s="71" t="str">
        <x:v>ce34f842546b0ea1e67e55688d86a9996ce31cd8d5fb5b68807e6afd86fda181</x:v>
      </x:c>
      <x:c r="P168" s="75" t="str">
        <x:v>INCLUDE</x:v>
      </x:c>
      <x:c r="Q168" s="79" t="str"/>
    </x:row>
    <x:row r="169" ht="92" customHeight="1">
      <x:c r="A169" s="54" t="n">
        <x:v>167</x:v>
      </x:c>
      <x:c r="B169" s="54" t="str">
        <x:v>sky.sun.square.saturn</x:v>
      </x:c>
      <x:c r="C169" s="54" t="str">
        <x:v>Sun square Saturn</x:v>
      </x:c>
      <x:c r="D169" s="54" t="str">
        <x:v>sun</x:v>
      </x:c>
      <x:c r="E169" s="54" t="str">
        <x:v>square</x:v>
      </x:c>
      <x:c r="F169" s="54" t="str">
        <x:v>saturn</x:v>
      </x:c>
      <x:c r="G169" s="54" t="str">
        <x:v>A plan with broad support hits a non-negotiable deadline, rule, or private obligation.</x:v>
      </x:c>
      <x:c r="H169" s="54" t="str">
        <x:v>A plan with broad support hits a non-negotiable deadline, rule, or private obligation. Leadership insists the work should continue, but the contract, budget, or person carrying the responsibility has reached a limit that cannot be talked around. The Sun refuses to let the shared goal disappear from the argument, while Saturn enforces the boundary the plan failed to account for. Tension tightens under the square until authority yields to the obligation it cannot overrule. The boundary may be fair, but everyone who organized around the original commitment is left adjusting to the fallout.</x:v>
      </x:c>
      <x:c r="I169" s="54" t="str">
        <x:v>owner-refined Sky aspect v10.1 corpus; owner direction, chat 2026-08-01</x:v>
      </x:c>
      <x:c r="J169" s="56" t="str">
        <x:v>A popular plan can still hit a deadline, rule, budget, or private obligation that will not move just because everyone wants the project to continue.</x:v>
      </x:c>
      <x:c r="K169" s="56" t="str">
        <x:v>A popular plan can still hit a deadline, rule, budget, or private obligation that will not move just because everyone wants the project to continue. Sun square Saturn can make that limit feel personal, especially when leadership has already promised a result and somebody else is left enforcing the boundary. The deadline is not proof that one person should be doing three jobs at once. Rework the scope, timing, or responsibility before asking the same person to absorb the gap. A hard limit is useful when it forces the plan to become more accurate.</x:v>
      </x:c>
      <x:c r="L169" s="56" t="str">
        <x:v>Completed generic pair-aspect fallback. Use only when sign/date context is unavailable.</x:v>
      </x:c>
      <x:c r="M169" s="56" t="str">
        <x:v>REVIEW READY</x:v>
      </x:c>
      <x:c r="N169" s="54" t="str">
        <x:v>packages/astro-knowledge/data/transits/sun-square-saturn.json</x:v>
      </x:c>
      <x:c r="O169" s="71" t="str">
        <x:v>a4c93f69fa308613489b1d2eac05960410da2d3415b2809e53433c870464586c</x:v>
      </x:c>
      <x:c r="P169" s="75" t="str">
        <x:v>INCLUDE</x:v>
      </x:c>
      <x:c r="Q169" s="79" t="str"/>
    </x:row>
    <x:row r="170" ht="92" customHeight="1">
      <x:c r="A170" s="54" t="n">
        <x:v>168</x:v>
      </x:c>
      <x:c r="B170" s="54" t="str">
        <x:v>sky.sun.trine.saturn</x:v>
      </x:c>
      <x:c r="C170" s="54" t="str">
        <x:v>Sun trine Saturn</x:v>
      </x:c>
      <x:c r="D170" s="54" t="str">
        <x:v>sun</x:v>
      </x:c>
      <x:c r="E170" s="54" t="str">
        <x:v>trine</x:v>
      </x:c>
      <x:c r="F170" s="54" t="str">
        <x:v>saturn</x:v>
      </x:c>
      <x:c r="G170" s="54" t="str">
        <x:v>Authority is handed to the person who has already been doing the work.</x:v>
      </x:c>
      <x:c r="H170" s="54" t="str">
        <x:v>Authority is handed to the person who has already been doing the work. The title, pay, access, and responsibility finally match the record of decisions they have been carrying without formal recognition. The Sun puts the title and authority where everyone can see them, while Saturn gives the role structure, history, and earned credibility. Under the trine, recognition rests on proof instead of arriving as a symbolic gesture. The transition holds because the person receiving authority already understands the consequences attached to using it.</x:v>
      </x:c>
      <x:c r="I170" s="54" t="str">
        <x:v>owner-refined Sky aspect v10.1 corpus; owner direction, chat 2026-08-01</x:v>
      </x:c>
      <x:c r="J170" s="56" t="str">
        <x:v>Authority may finally move to the person who has already been doing the work without the title.</x:v>
      </x:c>
      <x:c r="K170" s="56" t="str">
        <x:v>Authority may finally move to the person who has already been doing the work without the title. Sun trine Saturn can make recognition easier to formalize when the hours, decisions, and track record are already there. This is the point where the title, pay, access, and responsibility should catch up with the role someone has been carrying in practice. Make the change official. Recognition means more when it changes what the person can decide, what they are paid, and what work no longer has to be done without authority.</x:v>
      </x:c>
      <x:c r="L170" s="56" t="str">
        <x:v>Completed generic pair-aspect fallback. Use only when sign/date context is unavailable.</x:v>
      </x:c>
      <x:c r="M170" s="56" t="str">
        <x:v>REVIEW READY</x:v>
      </x:c>
      <x:c r="N170" s="54" t="str">
        <x:v>packages/astro-knowledge/data/transits/sun-trine-saturn.json</x:v>
      </x:c>
      <x:c r="O170" s="71" t="str">
        <x:v>be79d28b551d911af66736bce0964146d3a95f84c379f78e87e4eadcf3286fe8</x:v>
      </x:c>
      <x:c r="P170" s="75" t="str">
        <x:v>INCLUDE</x:v>
      </x:c>
      <x:c r="Q170" s="79" t="str"/>
    </x:row>
    <x:row r="171" ht="92" customHeight="1">
      <x:c r="A171" s="54" t="n">
        <x:v>169</x:v>
      </x:c>
      <x:c r="B171" s="54" t="str">
        <x:v>sky.sun.sextile.saturn</x:v>
      </x:c>
      <x:c r="C171" s="54" t="str">
        <x:v>Sun sextile Saturn</x:v>
      </x:c>
      <x:c r="D171" s="54" t="str">
        <x:v>sun</x:v>
      </x:c>
      <x:c r="E171" s="54" t="str">
        <x:v>sextile</x:v>
      </x:c>
      <x:c r="F171" s="54" t="str">
        <x:v>saturn</x:v>
      </x:c>
      <x:c r="G171" s="54" t="str">
        <x:v>Credit arrives with a paper trail of hours logged and budget kept.</x:v>
      </x:c>
      <x:c r="H171" s="54" t="str">
        <x:v>Credit arrives with a paper trail of hours logged and budget kept. One reviewer notices the record, clears the final condition, and moves the promotion, license, or approval out of the waiting pile. The Sun puts the achievement on the record, while Saturn confirms the discipline and responsibility underneath it. The sextile opens the door, but documented work and a timely decision are what get someone through it. The recognition carries weight because it can survive scrutiny after the congratulatory announcement is over.</x:v>
      </x:c>
      <x:c r="I171" s="54" t="str">
        <x:v>owner-refined Sky aspect v10.1 corpus; owner direction, chat 2026-08-01</x:v>
      </x:c>
      <x:c r="J171" s="56" t="str">
        <x:v>A promotion, license, or approval may clear once the record shows the hours, budget, and responsibility behind the achievement.</x:v>
      </x:c>
      <x:c r="K171" s="56" t="str">
        <x:v>A promotion, license, or approval may clear once the record shows the hours, budget, and responsibility behind the achievement. Sun sextile Saturn can create a practical opening for work that has already survived scrutiny to receive formal recognition. The opportunity is not the same as the paperwork finishing itself. Submit the missing proof, confirm the condition, and get the decision in writing. Credit carries more weight when it comes with the authority or status that the documented work was supposed to earn.</x:v>
      </x:c>
      <x:c r="L171" s="56" t="str">
        <x:v>Completed generic pair-aspect fallback. Use only when sign/date context is unavailable.</x:v>
      </x:c>
      <x:c r="M171" s="56" t="str">
        <x:v>REVIEW READY</x:v>
      </x:c>
      <x:c r="N171" s="54" t="str">
        <x:v>packages/astro-knowledge/data/transits/sun-sextile-saturn.json</x:v>
      </x:c>
      <x:c r="O171" s="71" t="str">
        <x:v>8c0cc0180f041a7278dcf45fc4feae5f71c458f1f33788982776e28bbc68e9ed</x:v>
      </x:c>
      <x:c r="P171" s="75" t="str">
        <x:v>INCLUDE</x:v>
      </x:c>
      <x:c r="Q171" s="79" t="str"/>
    </x:row>
    <x:row r="172" ht="92" customHeight="1">
      <x:c r="A172" s="54" t="n">
        <x:v>170</x:v>
      </x:c>
      <x:c r="B172" s="54" t="str">
        <x:v>sky.sun.conjunction.uranus</x:v>
      </x:c>
      <x:c r="C172" s="54" t="str">
        <x:v>Sun conjunction Uranus</x:v>
      </x:c>
      <x:c r="D172" s="54" t="str">
        <x:v>sun</x:v>
      </x:c>
      <x:c r="E172" s="54" t="str">
        <x:v>conjunction</x:v>
      </x:c>
      <x:c r="F172" s="54" t="str">
        <x:v>uranus</x:v>
      </x:c>
      <x:c r="G172" s="54" t="str">
        <x:v>One unexpected departure breaks the narrative and hijacks the news cycle.</x:v>
      </x:c>
      <x:c r="H172" s="54" t="str">
        <x:v>One unexpected departure breaks the narrative and hijacks the news cycle. Prepared talking points collapse as every interview and internal message turns toward why the person left and what happens next. The Sun keeps every camera fixed on the person or decision at the center, while Uranus makes the break from expectation immediate and impossible to contain. Under the conjunction, the rupture becomes the new direction before anyone can restore the earlier script. The move may feel liberating to some people and leave others questioning whether the shock served the work or only the person who caused it.</x:v>
      </x:c>
      <x:c r="I172" s="54" t="str">
        <x:v>owner-refined Sky aspect v10.1 corpus; owner direction, chat 2026-08-01</x:v>
      </x:c>
      <x:c r="J172" s="56" t="str">
        <x:v>One unexpected resignation, disclosure, or break from the plan can change the public story before leadership has time to prepare the response.</x:v>
      </x:c>
      <x:c r="K172" s="56" t="str">
        <x:v>One unexpected resignation, disclosure, or break from the plan can change the public story before leadership has time to prepare the response. Sun conjunct Uranus can make the disruption itself become the new direction, especially when the person at the center decides the old arrangement is no longer worth protecting. The shock may be useful if it exposes a problem everyone was already avoiding. Do not spend the whole response trying to restore the old script. Name what actually changed and what now has to be rebuilt because the break made the previous plan impossible.</x:v>
      </x:c>
      <x:c r="L172" s="56" t="str">
        <x:v>Completed generic pair-aspect fallback. Use only when sign/date context is unavailable.</x:v>
      </x:c>
      <x:c r="M172" s="56" t="str">
        <x:v>REVIEW READY</x:v>
      </x:c>
      <x:c r="N172" s="54" t="str">
        <x:v>packages/astro-knowledge/data/transits/sun-conjunction-uranus.json</x:v>
      </x:c>
      <x:c r="O172" s="71" t="str">
        <x:v>a6273acd442580db2b362f649c581d93b5292c0dbe5cf8de8291bf13721d769b</x:v>
      </x:c>
      <x:c r="P172" s="75" t="str">
        <x:v>INCLUDE</x:v>
      </x:c>
      <x:c r="Q172" s="79" t="str"/>
    </x:row>
    <x:row r="173" ht="92" customHeight="1">
      <x:c r="A173" s="54" t="n">
        <x:v>171</x:v>
      </x:c>
      <x:c r="B173" s="54" t="str">
        <x:v>sky.sun.opposition.uranus</x:v>
      </x:c>
      <x:c r="C173" s="54" t="str">
        <x:v>Sun opposition Uranus</x:v>
      </x:c>
      <x:c r="D173" s="54" t="str">
        <x:v>sun</x:v>
      </x:c>
      <x:c r="E173" s="54" t="str">
        <x:v>opposition</x:v>
      </x:c>
      <x:c r="F173" s="54" t="str">
        <x:v>uranus</x:v>
      </x:c>
      <x:c r="G173" s="54" t="str">
        <x:v>Leadership insists the original plan is still intact while a public defection makes that claim impossible to maintain.</x:v>
      </x:c>
      <x:c r="H173" s="54" t="str">
        <x:v>Leadership insists the original plan is still intact while a public defection makes that claim impossible to maintain. One side defends continuity; the other names the rules, restrictions, or private decisions that made staying untenable. The Sun defends the official narrative, while Uranus gives the break from expectation a visible person and an undeniable consequence. The opposition puts institutional control across from the demand for independence in the same news cycle. The departure may free one person, but everyone left behind has to determine whether the system can survive the reason they walked away.</x:v>
      </x:c>
      <x:c r="I173" s="54" t="str">
        <x:v>owner-refined Sky aspect v10.1 corpus; owner direction, chat 2026-08-01</x:v>
      </x:c>
      <x:c r="J173" s="56" t="str">
        <x:v>Leadership may insist the plan is still intact while a public departure proves that something inside it has already broken.</x:v>
      </x:c>
      <x:c r="K173" s="56" t="str">
        <x:v>Leadership may insist the plan is still intact while a public departure proves that something inside it has already broken. Sun opposite Uranus can put the official story directly against the person naming the rules, restrictions, or decisions that made staying untenable. The departure may look sudden from the outside and still have a long history behind it. Read the reason for the exit before replacing the person. If the same condition remains, continuity only guarantees that the next conflict will arrive under a different name.</x:v>
      </x:c>
      <x:c r="L173" s="56" t="str">
        <x:v>Completed generic pair-aspect fallback. Use only when sign/date context is unavailable.</x:v>
      </x:c>
      <x:c r="M173" s="56" t="str">
        <x:v>REVIEW READY</x:v>
      </x:c>
      <x:c r="N173" s="54" t="str">
        <x:v>packages/astro-knowledge/data/transits/sun-opposition-uranus.json</x:v>
      </x:c>
      <x:c r="O173" s="71" t="str">
        <x:v>d936d8467618027c347cb79fe2407870c5f9f7e8bd439f490310cb088902f58b</x:v>
      </x:c>
      <x:c r="P173" s="75" t="str">
        <x:v>INCLUDE</x:v>
      </x:c>
      <x:c r="Q173" s="79" t="str"/>
    </x:row>
    <x:row r="174" ht="92" customHeight="1">
      <x:c r="A174" s="54" t="n">
        <x:v>172</x:v>
      </x:c>
      <x:c r="B174" s="54" t="str">
        <x:v>sky.sun.square.uranus</x:v>
      </x:c>
      <x:c r="C174" s="54" t="str">
        <x:v>Sun square Uranus</x:v>
      </x:c>
      <x:c r="D174" s="54" t="str">
        <x:v>sun</x:v>
      </x:c>
      <x:c r="E174" s="54" t="str">
        <x:v>square</x:v>
      </x:c>
      <x:c r="F174" s="54" t="str">
        <x:v>uranus</x:v>
      </x:c>
      <x:c r="G174" s="54" t="str">
        <x:v>An abrupt resignation voids the plan right after public promises were made.</x:v>
      </x:c>
      <x:c r="H174" s="54" t="str">
        <x:v>An abrupt resignation voids the plan right after public promises were made. Clients, staff, and partners are left holding dates and commitments that no longer have a familiar person authorized to deliver them. The Sun tries to protect the established direction, while Uranus breaks the arrangement that gave that direction its authority. The square turns the departure into a fight over who owns the plan and who gets to replace it. A new leader may emerge, but the people depending on the old structure are left absorbing the instability first.</x:v>
      </x:c>
      <x:c r="I174" s="54" t="str">
        <x:v>owner-refined Sky aspect v10.1 corpus; owner direction, chat 2026-08-01</x:v>
      </x:c>
      <x:c r="J174" s="56" t="str">
        <x:v>An abrupt resignation can void dates and promises that were already given to clients, staff, or partners.</x:v>
      </x:c>
      <x:c r="K174" s="56" t="str">
        <x:v>An abrupt resignation can void dates and promises that were already given to clients, staff, or partners. Sun square Uranus can turn one person's break from the arrangement into immediate instability for everyone who built plans around their authority. The argument about who owns the project can wait long enough to protect the people depending on it. Confirm who can make decisions now, which commitments still stand, and what needs to be postponed. The first job is not restoring appearances. It is keeping the sudden break from creating avoidable damage downstream.</x:v>
      </x:c>
      <x:c r="L174" s="56" t="str">
        <x:v>Completed generic pair-aspect fallback. Use only when sign/date context is unavailable.</x:v>
      </x:c>
      <x:c r="M174" s="56" t="str">
        <x:v>REVIEW READY</x:v>
      </x:c>
      <x:c r="N174" s="54" t="str">
        <x:v>packages/astro-knowledge/data/transits/sun-square-uranus.json</x:v>
      </x:c>
      <x:c r="O174" s="71" t="str">
        <x:v>878c14cf593d913365deae341a3269214cc8cafbbedeeceee7d076bfdbe51342</x:v>
      </x:c>
      <x:c r="P174" s="75" t="str">
        <x:v>INCLUDE</x:v>
      </x:c>
      <x:c r="Q174" s="79" t="str"/>
    </x:row>
    <x:row r="175" ht="92" customHeight="1">
      <x:c r="A175" s="54" t="n">
        <x:v>173</x:v>
      </x:c>
      <x:c r="B175" s="54" t="str">
        <x:v>sky.sun.trine.uranus</x:v>
      </x:c>
      <x:c r="C175" s="54" t="str">
        <x:v>Sun trine Uranus</x:v>
      </x:c>
      <x:c r="D175" s="54" t="str">
        <x:v>sun</x:v>
      </x:c>
      <x:c r="E175" s="54" t="str">
        <x:v>trine</x:v>
      </x:c>
      <x:c r="F175" s="54" t="str">
        <x:v>uranus</x:v>
      </x:c>
      <x:c r="G175" s="54" t="str">
        <x:v>Leadership finally approves the long-delayed change before the old process can create another crisis.</x:v>
      </x:c>
      <x:c r="H175" s="54" t="str">
        <x:v>Leadership finally approves the long-delayed change before the old process can create another crisis. The new platform, reporting line, or public policy is introduced with enough authority and preparation to become usable immediately. The Sun turns the break from precedent into an official course of action, while Uranus replaces the rule that no longer serves the work. Under the trine, leadership and reform move together without forcing people to choose between order and progress. The change earns trust because it improves daily operations instead of surviving only as a bold announcement.</x:v>
      </x:c>
      <x:c r="I175" s="54" t="str">
        <x:v>owner-refined Sky aspect v10.1 corpus; owner direction, chat 2026-08-01</x:v>
      </x:c>
      <x:c r="J175" s="56" t="str">
        <x:v>Leadership may finally approve the change people have been asking for before the old process creates another crisis.</x:v>
      </x:c>
      <x:c r="K175" s="56" t="str">
        <x:v>Leadership may finally approve the change people have been asking for before the old process creates another crisis. Sun trine Uranus can make reform easier to implement when the person with authority is willing to put their name behind a better system instead of defending the familiar one. The new platform, reporting line, or policy still has to work on an ordinary Tuesday. Roll it out with enough support to prove that. A bold change earns trust when daily work gets easier after the announcement, not just more exciting on launch day.</x:v>
      </x:c>
      <x:c r="L175" s="56" t="str">
        <x:v>Completed generic pair-aspect fallback. Use only when sign/date context is unavailable.</x:v>
      </x:c>
      <x:c r="M175" s="56" t="str">
        <x:v>REVIEW READY</x:v>
      </x:c>
      <x:c r="N175" s="54" t="str">
        <x:v>packages/astro-knowledge/data/transits/sun-trine-uranus.json</x:v>
      </x:c>
      <x:c r="O175" s="71" t="str">
        <x:v>d35f3b6911987ccdb6a075788b65f4da4bbf4b4808675418dfbd1b23c2010469</x:v>
      </x:c>
      <x:c r="P175" s="75" t="str">
        <x:v>INCLUDE</x:v>
      </x:c>
      <x:c r="Q175" s="79" t="str"/>
    </x:row>
    <x:row r="176" ht="92" customHeight="1">
      <x:c r="A176" s="54" t="n">
        <x:v>174</x:v>
      </x:c>
      <x:c r="B176" s="54" t="str">
        <x:v>sky.sun.sextile.uranus</x:v>
      </x:c>
      <x:c r="C176" s="54" t="str">
        <x:v>Sun sextile Uranus</x:v>
      </x:c>
      <x:c r="D176" s="54" t="str">
        <x:v>sun</x:v>
      </x:c>
      <x:c r="E176" s="54" t="str">
        <x:v>sextile</x:v>
      </x:c>
      <x:c r="F176" s="54" t="str">
        <x:v>uranus</x:v>
      </x:c>
      <x:c r="G176" s="54" t="str">
        <x:v>New software clears a bottleneck the old workflow kept forcing.</x:v>
      </x:c>
      <x:c r="H176" s="54" t="str">
        <x:v>New software clears a bottleneck the old workflow kept forcing. A manager approves a limited rollout, and one team uses the opening to prove that the faster method can work without losing the record. The Sun gives the experiment executive cover and a person responsible for the result, while Uranus breaks with the process that kept reproducing the delay. The sextile creates room for reform, but someone still has to test the change inside the live workflow. The update gains support because people can see exactly which failure it removes.</x:v>
      </x:c>
      <x:c r="I176" s="54" t="str">
        <x:v>owner-refined Sky aspect v10.1 corpus; owner direction, chat 2026-08-01</x:v>
      </x:c>
      <x:c r="J176" s="56" t="str">
        <x:v>New software or one procedural change may clear a bottleneck the old workflow kept reproducing.</x:v>
      </x:c>
      <x:c r="K176" s="56" t="str">
        <x:v>New software or one procedural change may clear a bottleneck the old workflow kept reproducing. Sun sextile Uranus can give an experiment enough authority to be tested inside the live system without requiring everyone to abandon the current process first. Start with the failure everyone can already see. Give one team the tool, track the result, and keep the old route available until the replacement has handled ordinary use. The change earns support when people can point to the delay it removed.</x:v>
      </x:c>
      <x:c r="L176" s="56" t="str">
        <x:v>Completed generic pair-aspect fallback. Use only when sign/date context is unavailable.</x:v>
      </x:c>
      <x:c r="M176" s="56" t="str">
        <x:v>REVIEW READY</x:v>
      </x:c>
      <x:c r="N176" s="54" t="str">
        <x:v>packages/astro-knowledge/data/transits/sun-sextile-uranus.json</x:v>
      </x:c>
      <x:c r="O176" s="71" t="str">
        <x:v>7bebe0ce30003d114d9d3e803187b94dd4ab2df0873eaaf63890c0572342a068</x:v>
      </x:c>
      <x:c r="P176" s="75" t="str">
        <x:v>INCLUDE</x:v>
      </x:c>
      <x:c r="Q176" s="79" t="str"/>
    </x:row>
    <x:row r="177" ht="92" customHeight="1">
      <x:c r="A177" s="54" t="n">
        <x:v>175</x:v>
      </x:c>
      <x:c r="B177" s="54" t="str">
        <x:v>sky.sun.conjunction.venus</x:v>
      </x:c>
      <x:c r="C177" s="54" t="str">
        <x:v>Sun conjunction Venus</x:v>
      </x:c>
      <x:c r="D177" s="54" t="str">
        <x:v>sun</x:v>
      </x:c>
      <x:c r="E177" s="54" t="str">
        <x:v>conjunction</x:v>
      </x:c>
      <x:c r="F177" s="54" t="str">
        <x:v>venus</x:v>
      </x:c>
      <x:c r="G177" s="54" t="str">
        <x:v>Turnout and applause become the final report, while quieter results vanish.</x:v>
      </x:c>
      <x:c r="H177" s="54" t="str">
        <x:v>Turnout and applause become the final report, while quieter results vanish. Sponsors point to photos, press, and public enthusiasm as proof that the money was well spent, even when the original goal cannot be measured the same way. The Sun keeps the spotlight fixed on the visible success, while Venus lets applause and approval stand in for value. Under the conjunction, being liked and being effective become the same scorecard. The event may open doors, but the people doing less visible work learn how easily popularity can replace proof.</x:v>
      </x:c>
      <x:c r="I177" s="54" t="str">
        <x:v>owner-refined Sky aspect v10.1 corpus; owner direction, chat 2026-08-01</x:v>
      </x:c>
      <x:c r="J177" s="56" t="str">
        <x:v>Turnout, applause, or a polished public response can become the whole scorecard even when the original goal was harder to measure.</x:v>
      </x:c>
      <x:c r="K177" s="56" t="str">
        <x:v>Turnout, applause, or a polished public response can become the whole scorecard even when the original goal was harder to measure. Sun conjunct Venus can make being liked and being effective look like the same thing, especially when sponsors, leaders, or organizers want visible enthusiasm to stand in for value. Count the quieter result too. Who was paid, who benefited, what changed, and what did the attention actually produce? Approval matters, but it should not be the only evidence that the work succeeded.</x:v>
      </x:c>
      <x:c r="L177" s="56" t="str">
        <x:v>Completed generic pair-aspect fallback. Use only when sign/date context is unavailable.</x:v>
      </x:c>
      <x:c r="M177" s="56" t="str">
        <x:v>REVIEW READY</x:v>
      </x:c>
      <x:c r="N177" s="54" t="str">
        <x:v>packages/astro-knowledge/data/transits/sun-conjunction-venus.json</x:v>
      </x:c>
      <x:c r="O177" s="71" t="str">
        <x:v>a6f34c3c024ea4313b958d9b5520dd9004b421fdd80cd716aa672563bfd1e822</x:v>
      </x:c>
      <x:c r="P177" s="75" t="str">
        <x:v>INCLUDE</x:v>
      </x:c>
      <x:c r="Q177" s="79" t="str"/>
    </x:row>
    <x:row r="178" ht="92" customHeight="1">
      <x:c r="A178" s="54" t="n">
        <x:v>176</x:v>
      </x:c>
      <x:c r="B178" s="54" t="str">
        <x:v>sky.uranus.conjunction.neptune</x:v>
      </x:c>
      <x:c r="C178" s="54" t="str">
        <x:v>Uranus conjunction Neptune</x:v>
      </x:c>
      <x:c r="D178" s="54" t="str">
        <x:v>uranus</x:v>
      </x:c>
      <x:c r="E178" s="54" t="str">
        <x:v>conjunction</x:v>
      </x:c>
      <x:c r="F178" s="54" t="str">
        <x:v>neptune</x:v>
      </x:c>
      <x:c r="G178" s="54" t="str">
        <x:v>A technological or cultural breakthrough arrives wrapped in a dream about how everyone will live next.</x:v>
      </x:c>
      <x:c r="H178" s="54" t="str">
        <x:v>A technological or cultural breakthrough arrives wrapped in a dream about how everyone will live next. A platform, medium, movement, or shared vision spreads quickly enough to reshape expectations before its limits and ownership are clear. Uranus breaks the familiar form, while Neptune surrounds the new possibility with hope, projection, and collective longing. Under the conjunction, innovation and idealization become part of the same wave. The change may open genuine freedom while making it difficult to tell where the future ends and the marketing begins.</x:v>
      </x:c>
      <x:c r="I178" s="54" t="str">
        <x:v>owner-refined Sky aspect v10.1 corpus; owner direction, chat 2026-08-01</x:v>
      </x:c>
      <x:c r="J178" s="56" t="str">
        <x:v>A technological or cultural breakthrough can arrive already carrying a story about how everyone will live once it spreads.</x:v>
      </x:c>
      <x:c r="K178" s="56" t="str">
        <x:v>A technological or cultural breakthrough can arrive already carrying a story about how everyone will live once it spreads. Uranus conjunct Neptune can make innovation and idealism rise together, so a new platform, medium, or movement feels like proof of the future before ownership, limits, or consequences are clear. The excitement may be deserved. The projection can be just as strong. Ask who controls the tool, what it actually changes, and what happens if the promise does not hold. A new interface is not the same thing as a new distribution of power.</x:v>
      </x:c>
      <x:c r="L178" s="56" t="str">
        <x:v>Completed generic pair-aspect fallback. Use only when sign/date context is unavailable.</x:v>
      </x:c>
      <x:c r="M178" s="56" t="str">
        <x:v>REVIEW READY</x:v>
      </x:c>
      <x:c r="N178" s="54" t="str">
        <x:v>packages/astro-knowledge/data/transits/uranus-conjunction-neptune.json</x:v>
      </x:c>
      <x:c r="O178" s="71" t="str">
        <x:v>34e2a83ddb6c54a1c86afd2bd67416aef2d1fa2bd4b3845ba488168380ad700e</x:v>
      </x:c>
      <x:c r="P178" s="75" t="str">
        <x:v>INCLUDE</x:v>
      </x:c>
      <x:c r="Q178" s="79" t="str"/>
    </x:row>
    <x:row r="179" ht="92" customHeight="1">
      <x:c r="A179" s="54" t="n">
        <x:v>177</x:v>
      </x:c>
      <x:c r="B179" s="54" t="str">
        <x:v>sky.uranus.opposition.neptune</x:v>
      </x:c>
      <x:c r="C179" s="54" t="str">
        <x:v>Uranus opposition Neptune</x:v>
      </x:c>
      <x:c r="D179" s="54" t="str">
        <x:v>uranus</x:v>
      </x:c>
      <x:c r="E179" s="54" t="str">
        <x:v>opposition</x:v>
      </x:c>
      <x:c r="F179" s="54" t="str">
        <x:v>neptune</x:v>
      </x:c>
      <x:c r="G179" s="54" t="str">
        <x:v>The people demanding verifiable reform face a movement held together by a powerful but loosely defined vision.</x:v>
      </x:c>
      <x:c r="H179" s="54" t="str">
        <x:v>The people demanding verifiable reform face a movement held together by a powerful but loosely defined vision. One side points to systems, tools, and changes that can be tested; the other points to imagination, solidarity, and a future that cannot yet be measured by the old rules. Uranus gives the break from convention practical force, while Neptune gives the collective ideal emotional reach. The opposition places disruptive evidence across from sustaining belief without allowing either to claim the future alone. The movement may continue, but the conflict reveals whether its technology serves the vision or simply gives confusion a faster route.</x:v>
      </x:c>
      <x:c r="I179" s="54" t="str">
        <x:v>owner-refined Sky aspect v10.1 corpus; owner direction, chat 2026-08-01</x:v>
      </x:c>
      <x:c r="J179" s="56" t="str">
        <x:v>The people demanding proof may end up facing a movement that survives because its vision is larger than anything the current system can measure.</x:v>
      </x:c>
      <x:c r="K179" s="56" t="str">
        <x:v>The people demanding proof may end up facing a movement that survives because its vision is larger than anything the current system can measure. Uranus opposite Neptune can put testable reform directly across from a collective ideal, especially when technology is being asked to carry hope, solidarity, or a future nobody can fully describe yet. Do not force the choice into belief versus cynicism. Test what can be tested. Keep the part of the vision that still matters after the tool, platform, or strategy has to answer for its results.</x:v>
      </x:c>
      <x:c r="L179" s="56" t="str">
        <x:v>Completed generic pair-aspect fallback. Use only when sign/date context is unavailable.</x:v>
      </x:c>
      <x:c r="M179" s="56" t="str">
        <x:v>REVIEW READY</x:v>
      </x:c>
      <x:c r="N179" s="54" t="str">
        <x:v>packages/astro-knowledge/data/transits/uranus-opposition-neptune.json</x:v>
      </x:c>
      <x:c r="O179" s="71" t="str">
        <x:v>cafaf61914fa3fa9d8a8d87afec6cda84cdc7942d318db3f245b7a34477415ab</x:v>
      </x:c>
      <x:c r="P179" s="75" t="str">
        <x:v>INCLUDE</x:v>
      </x:c>
      <x:c r="Q179" s="79" t="str"/>
    </x:row>
    <x:row r="180" ht="92" customHeight="1">
      <x:c r="A180" s="54" t="n">
        <x:v>178</x:v>
      </x:c>
      <x:c r="B180" s="54" t="str">
        <x:v>sky.uranus.square.neptune</x:v>
      </x:c>
      <x:c r="C180" s="54" t="str">
        <x:v>Uranus square Neptune</x:v>
      </x:c>
      <x:c r="D180" s="54" t="str">
        <x:v>uranus</x:v>
      </x:c>
      <x:c r="E180" s="54" t="str">
        <x:v>square</x:v>
      </x:c>
      <x:c r="F180" s="54" t="str">
        <x:v>neptune</x:v>
      </x:c>
      <x:c r="G180" s="54" t="str">
        <x:v>A viral solution gathers belief faster than anyone can test whether it works.</x:v>
      </x:c>
      <x:c r="H180" s="54" t="str">
        <x:v>A viral solution gathers belief faster than anyone can test whether it works. New platforms, anonymous funds, artificial images, or unverified tools spread through a crisis while users fill technical gaps with hope and rumor. Uranus accelerates the disruption and reach, while Neptune blurs what is real, useful, or accountable inside the excitement. The square makes every failure feel like a reason to believe the next version will finally deliver the promise. The innovation may change the field while leaving the people who needed help sorting through scams, confusion, and abandoned experiments.</x:v>
      </x:c>
      <x:c r="I180" s="54" t="str">
        <x:v>owner-refined Sky aspect v10.1 corpus; owner direction, chat 2026-08-01</x:v>
      </x:c>
      <x:c r="J180" s="56" t="str">
        <x:v>A viral solution may collect believers before anyone has had time to test if it works.</x:v>
      </x:c>
      <x:c r="K180" s="56" t="str">
        <x:v>A viral solution may collect believers before anyone has had time to test if it works. Uranus square Neptune can make new platforms, anonymous funds, artificial images, or unverified tools spread through a crisis while hope fills the gaps in evidence. The first failure can become an excuse to chase the next version instead of asking what the experiment already proved. Slow the repeat cycle. Verify the source, ownership, results, and people carrying the downside before another round of attention or money turns the same uncertainty into a larger problem.</x:v>
      </x:c>
      <x:c r="L180" s="56" t="str">
        <x:v>Completed generic pair-aspect fallback. Use only when sign/date context is unavailable.</x:v>
      </x:c>
      <x:c r="M180" s="56" t="str">
        <x:v>REVIEW READY</x:v>
      </x:c>
      <x:c r="N180" s="54" t="str">
        <x:v>packages/astro-knowledge/data/transits/uranus-square-neptune.json</x:v>
      </x:c>
      <x:c r="O180" s="71" t="str">
        <x:v>09fb77b58028d7388fabfb643ad0ada652920e27e2689ec6bfa757bfc2e82a7b</x:v>
      </x:c>
      <x:c r="P180" s="75" t="str">
        <x:v>INCLUDE</x:v>
      </x:c>
      <x:c r="Q180" s="79" t="str"/>
    </x:row>
    <x:row r="181" ht="92" customHeight="1">
      <x:c r="A181" s="54" t="n">
        <x:v>179</x:v>
      </x:c>
      <x:c r="B181" s="54" t="str">
        <x:v>sky.uranus.trine.neptune</x:v>
      </x:c>
      <x:c r="C181" s="54" t="str">
        <x:v>Uranus trine Neptune</x:v>
      </x:c>
      <x:c r="D181" s="54" t="str">
        <x:v>uranus</x:v>
      </x:c>
      <x:c r="E181" s="54" t="str">
        <x:v>trine</x:v>
      </x:c>
      <x:c r="F181" s="54" t="str">
        <x:v>neptune</x:v>
      </x:c>
      <x:c r="G181" s="54" t="str">
        <x:v>A creative use of technology makes a distant human reality feel immediate without turning the people living through it into a spectacle.</x:v>
      </x:c>
      <x:c r="H181" s="54" t="str">
        <x:v>A creative use of technology makes a distant human reality feel immediate without turning the people living through it into a spectacle. Artists, organizers, or mutual-aid networks use new tools to share testimony, route money, and coordinate support while preserving the purpose behind the response. Uranus expands the possible form, while Neptune carries empathy and imagination through it. Under the trine, innovation and collective feeling reinforce each other without allowing the platform to become the entire story. The response reaches farther because the technology remains a bridge instead of replacing the people it was built to serve.</x:v>
      </x:c>
      <x:c r="I181" s="54" t="str">
        <x:v>owner-refined Sky aspect v10.1 corpus; owner direction, chat 2026-08-01</x:v>
      </x:c>
      <x:c r="J181" s="56" t="str">
        <x:v>A new tool may make a distant human reality easier to understand without turning the people living through it into content.</x:v>
      </x:c>
      <x:c r="K181" s="56" t="str">
        <x:v>A new tool may make a distant human reality easier to understand without turning the people living through it into content. Uranus trine Neptune can help technology and empathy support each other, especially when artists, organizers, or mutual-aid networks use new formats to share testimony, route money, or coordinate help. The platform works best when it stays in service to the people at the center. Keep consent, attribution, and the practical purpose visible. If the technology becomes the most interesting part of the story, the work has probably drifted from what it was meant to help.</x:v>
      </x:c>
      <x:c r="L181" s="56" t="str">
        <x:v>Completed generic pair-aspect fallback. Use only when sign/date context is unavailable.</x:v>
      </x:c>
      <x:c r="M181" s="56" t="str">
        <x:v>REVIEW READY</x:v>
      </x:c>
      <x:c r="N181" s="54" t="str">
        <x:v>packages/astro-knowledge/data/transits/uranus-trine-neptune.json</x:v>
      </x:c>
      <x:c r="O181" s="71" t="str">
        <x:v>f01befd0494efbdad1dc58f453bcc45fac784421c49106d975ed82e5bfb851aa</x:v>
      </x:c>
      <x:c r="P181" s="75" t="str">
        <x:v>INCLUDE</x:v>
      </x:c>
      <x:c r="Q181" s="79" t="str"/>
    </x:row>
    <x:row r="182" ht="92" customHeight="1">
      <x:c r="A182" s="54" t="n">
        <x:v>180</x:v>
      </x:c>
      <x:c r="B182" s="54" t="str">
        <x:v>sky.uranus.sextile.neptune</x:v>
      </x:c>
      <x:c r="C182" s="54" t="str">
        <x:v>Uranus sextile Neptune</x:v>
      </x:c>
      <x:c r="D182" s="54" t="str">
        <x:v>uranus</x:v>
      </x:c>
      <x:c r="E182" s="54" t="str">
        <x:v>sextile</x:v>
      </x:c>
      <x:c r="F182" s="54" t="str">
        <x:v>neptune</x:v>
      </x:c>
      <x:c r="G182" s="54" t="str">
        <x:v>A new platform gives a neglected need a way to reach people outside the usual institutions.</x:v>
      </x:c>
      <x:c r="H182" s="54" t="str">
        <x:v>A new platform gives a neglected need a way to reach people outside the usual institutions. Someone uses unfamiliar technology, a creative format, or a decentralized network to connect resources with a community the older system kept missing. Uranus changes the route, while Neptune draws attention toward the suffering, hope, or imagination giving the effort meaning. The sextile opens an unconventional channel for help, but someone still has to build enough trust for people to use it. The idea gains force because the innovation delivers something more useful than attention alone.</x:v>
      </x:c>
      <x:c r="I182" s="54" t="str">
        <x:v>owner-refined Sky aspect v10.1 corpus; owner direction, chat 2026-08-01</x:v>
      </x:c>
      <x:c r="J182" s="56" t="str">
        <x:v>A new platform may give a neglected need a route around the institutions that kept missing it.</x:v>
      </x:c>
      <x:c r="K182" s="56" t="str">
        <x:v>A new platform may give a neglected need a route around the institutions that kept missing it. Uranus sextile Neptune can open an unconventional channel between people who need support and people willing to provide it, especially through unfamiliar technology, creative formats, or decentralized networks. Attention alone is not the result. Build enough trust for people to use the route safely, and make the next step obvious once they arrive. The innovation matters because it connects someone to money, information, care, or access they could not reach before.</x:v>
      </x:c>
      <x:c r="L182" s="56" t="str">
        <x:v>Completed generic pair-aspect fallback. Use only when sign/date context is unavailable.</x:v>
      </x:c>
      <x:c r="M182" s="56" t="str">
        <x:v>REVIEW READY</x:v>
      </x:c>
      <x:c r="N182" s="54" t="str">
        <x:v>packages/astro-knowledge/data/transits/uranus-sextile-neptune.json</x:v>
      </x:c>
      <x:c r="O182" s="71" t="str">
        <x:v>69d8c9c6870a831adfc552ab8d775ba99dd4f219196184f65ee1c483cec7e902</x:v>
      </x:c>
      <x:c r="P182" s="75" t="str">
        <x:v>INCLUDE</x:v>
      </x:c>
      <x:c r="Q182" s="79" t="str"/>
    </x:row>
    <x:row r="183" ht="92" customHeight="1">
      <x:c r="A183" s="54" t="n">
        <x:v>181</x:v>
      </x:c>
      <x:c r="B183" s="54" t="str">
        <x:v>sky.uranus.conjunction.pluto</x:v>
      </x:c>
      <x:c r="C183" s="54" t="str">
        <x:v>Uranus conjunction Pluto</x:v>
      </x:c>
      <x:c r="D183" s="54" t="str">
        <x:v>uranus</x:v>
      </x:c>
      <x:c r="E183" s="54" t="str">
        <x:v>conjunction</x:v>
      </x:c>
      <x:c r="F183" s="54" t="str">
        <x:v>pluto</x:v>
      </x:c>
      <x:c r="G183" s="54" t="str">
        <x:v>A sudden structural break moves technology, ownership, and authority at the same time.</x:v>
      </x:c>
      <x:c r="H183" s="54" t="str">
        <x:v>A sudden structural break moves technology, ownership, and authority at the same time. A platform collapses, a market is seized, a supply chain is replaced, or a public movement gains control of tools the old institution assumed it would always hold. Uranus makes the rupture immediate, while Pluto determines who controls the deeper resources after the break. Under the conjunction, disruption and transfer of power become one event. The change may end an outdated system while creating a new concentration of authority before anyone has language for what replaced it.</x:v>
      </x:c>
      <x:c r="I183" s="54" t="str">
        <x:v>owner-refined Sky aspect v10.1 corpus; owner direction, chat 2026-08-01</x:v>
      </x:c>
      <x:c r="J183" s="56" t="str">
        <x:v>A platform collapse, ownership fight, market seizure, or technical break can move authority at the same moment the old structure fails.</x:v>
      </x:c>
      <x:c r="K183" s="56" t="str">
        <x:v>A platform collapse, ownership fight, market seizure, or technical break can move authority at the same moment the old structure fails. Uranus conjunct Pluto can make disruption and a transfer of power happen so quickly that everyone is focused on what ended before noticing who now controls the replacement. Breaking the gate does not guarantee open access. Follow the data, ownership, pricing, and enforcement into the new system. If the same concentration of power appears under a different interface, the replacement changed the route more than the power structure.</x:v>
      </x:c>
      <x:c r="L183" s="56" t="str">
        <x:v>Completed generic pair-aspect fallback. Use only when sign/date context is unavailable.</x:v>
      </x:c>
      <x:c r="M183" s="56" t="str">
        <x:v>REVIEW READY</x:v>
      </x:c>
      <x:c r="N183" s="54" t="str">
        <x:v>packages/astro-knowledge/data/transits/uranus-conjunction-pluto.json</x:v>
      </x:c>
      <x:c r="O183" s="71" t="str">
        <x:v>c6269e0aab7924b16588b3adff8f7759a68cdfe846a18c49f60c19b80c539cfe</x:v>
      </x:c>
      <x:c r="P183" s="75" t="str">
        <x:v>INCLUDE</x:v>
      </x:c>
      <x:c r="Q183" s="79" t="str"/>
    </x:row>
    <x:row r="184" ht="92" customHeight="1">
      <x:c r="A184" s="54" t="n">
        <x:v>182</x:v>
      </x:c>
      <x:c r="B184" s="54" t="str">
        <x:v>sky.uranus.opposition.pluto</x:v>
      </x:c>
      <x:c r="C184" s="54" t="str">
        <x:v>Uranus opposition Pluto</x:v>
      </x:c>
      <x:c r="D184" s="54" t="str">
        <x:v>uranus</x:v>
      </x:c>
      <x:c r="E184" s="54" t="str">
        <x:v>opposition</x:v>
      </x:c>
      <x:c r="F184" s="54" t="str">
        <x:v>pluto</x:v>
      </x:c>
      <x:c r="G184" s="54" t="str">
        <x:v>The movement demanding decentralized access faces the institution determined to retain control of the system underneath it.</x:v>
      </x:c>
      <x:c r="H184" s="54" t="str">
        <x:v>The movement demanding decentralized access faces the institution determined to retain control of the system underneath it. One side points to freedom, transparency, and tools that allow people to bypass the gate; the other points to ownership, risk, and the power to shut the route down. Uranus gives the challenge reach and unpredictability, while Pluto holds the resources and consequences that can absorb or redirect it. The opposition places public disruption directly across from concentrated control. The system may change, but the outcome reveals whether power actually moved or merely learned a new interface.</x:v>
      </x:c>
      <x:c r="I184" s="54" t="str">
        <x:v>owner-refined Sky aspect v10.1 corpus; owner direction, chat 2026-08-01</x:v>
      </x:c>
      <x:c r="J184" s="56" t="str">
        <x:v>A movement demanding open access may run directly into the institution that still owns the infrastructure underneath it.</x:v>
      </x:c>
      <x:c r="K184" s="56" t="str">
        <x:v>A movement demanding open access may run directly into the institution that still owns the infrastructure underneath it. Uranus opposite Pluto can expose how far decentralization can go when another party controls the servers, money, licensing, data, or legal consequences required to keep the route open. Freedom at the user level can coexist with concentrated power underneath it. Name that dependency before calling the system decentralized. Check who can enter today and who still has the power to close the door tomorrow.</x:v>
      </x:c>
      <x:c r="L184" s="56" t="str">
        <x:v>Completed generic pair-aspect fallback. Use only when sign/date context is unavailable.</x:v>
      </x:c>
      <x:c r="M184" s="56" t="str">
        <x:v>REVIEW READY</x:v>
      </x:c>
      <x:c r="N184" s="54" t="str">
        <x:v>packages/astro-knowledge/data/transits/uranus-opposition-pluto.json</x:v>
      </x:c>
      <x:c r="O184" s="71" t="str">
        <x:v>a48b89861fce2bfce54d8edec4966137c5c88627216a99be5fe8212a96082c6f</x:v>
      </x:c>
      <x:c r="P184" s="75" t="str">
        <x:v>INCLUDE</x:v>
      </x:c>
      <x:c r="Q184" s="79" t="str"/>
    </x:row>
    <x:row r="185" ht="92" customHeight="1">
      <x:c r="A185" s="54" t="n">
        <x:v>183</x:v>
      </x:c>
      <x:c r="B185" s="54" t="str">
        <x:v>sky.uranus.square.pluto</x:v>
      </x:c>
      <x:c r="C185" s="54" t="str">
        <x:v>Uranus square Pluto</x:v>
      </x:c>
      <x:c r="D185" s="54" t="str">
        <x:v>uranus</x:v>
      </x:c>
      <x:c r="E185" s="54" t="str">
        <x:v>square</x:v>
      </x:c>
      <x:c r="F185" s="54" t="str">
        <x:v>pluto</x:v>
      </x:c>
      <x:c r="G185" s="54" t="str">
        <x:v>A disruptive technology breaks an old gatekeeping system and immediately creates a new fight over who controls the replacement.</x:v>
      </x:c>
      <x:c r="H185" s="54" t="str">
        <x:v>A disruptive technology breaks an old gatekeeping system and immediately creates a new fight over who controls the replacement. Users gain access, but ownership, data, pricing, or enforcement shifts toward another small group moving faster than regulation can follow. Uranus tears open the familiar route, while Pluto concentrates power inside the infrastructure taking its place. The square turns liberation into a direct struggle over who owns the future after the old authority falls. The breakthrough may be real while the people celebrating access discover that the new gate has already begun to close.</x:v>
      </x:c>
      <x:c r="I185" s="54" t="str">
        <x:v>owner-refined Sky aspect v10.1 corpus; owner direction, chat 2026-08-01</x:v>
      </x:c>
      <x:c r="J185" s="56" t="str">
        <x:v>A disruptive technology can break one gatekeeping system and immediately create a new fight over who owns the replacement.</x:v>
      </x:c>
      <x:c r="K185" s="56" t="str">
        <x:v>A disruptive technology can break one gatekeeping system and immediately create a new fight over who owns the replacement. Uranus square Pluto can make access expand faster than rules around data, pricing, enforcement, or ownership can catch up, leaving a smaller group with more control than the people celebrating the breakthrough expected. Do not mistake a broken gate for the end of gatekeeping. Check who can change the terms, raise the price, remove access, or keep the data. The new system deserves the same scrutiny the old one eventually received.</x:v>
      </x:c>
      <x:c r="L185" s="56" t="str">
        <x:v>Completed generic pair-aspect fallback. Use only when sign/date context is unavailable.</x:v>
      </x:c>
      <x:c r="M185" s="56" t="str">
        <x:v>REVIEW READY</x:v>
      </x:c>
      <x:c r="N185" s="54" t="str">
        <x:v>packages/astro-knowledge/data/transits/uranus-square-pluto.json</x:v>
      </x:c>
      <x:c r="O185" s="71" t="str">
        <x:v>5244c0ffcb15329f57e3c6901f0d57e68462805277791d12c5d7d0594c64f355</x:v>
      </x:c>
      <x:c r="P185" s="75" t="str">
        <x:v>INCLUDE</x:v>
      </x:c>
      <x:c r="Q185" s="79" t="str"/>
    </x:row>
    <x:row r="186" ht="92" customHeight="1">
      <x:c r="A186" s="54" t="n">
        <x:v>184</x:v>
      </x:c>
      <x:c r="B186" s="54" t="str">
        <x:v>sky.uranus.trine.pluto</x:v>
      </x:c>
      <x:c r="C186" s="54" t="str">
        <x:v>Uranus trine Pluto</x:v>
      </x:c>
      <x:c r="D186" s="54" t="str">
        <x:v>uranus</x:v>
      </x:c>
      <x:c r="E186" s="54" t="str">
        <x:v>trine</x:v>
      </x:c>
      <x:c r="F186" s="54" t="str">
        <x:v>pluto</x:v>
      </x:c>
      <x:c r="G186" s="54" t="str">
        <x:v>A quiet overhaul of everyday infrastructure shifts power without causing a panic.</x:v>
      </x:c>
      <x:c r="H186" s="54" t="str">
        <x:v>A quiet overhaul of everyday infrastructure shifts power without causing a panic. Updates to financial systems, supply chains, or operational software give ordinary participants access to tools once guarded by gatekeepers. Uranus changes the working system, while Pluto restructures who holds authority inside it. Under the trine, reform and redistribution reinforce each other without requiring the system to collapse first. The change can take root with less friction because cost, deadlines, and existing responsibilities were considered from the beginning.</x:v>
      </x:c>
      <x:c r="I186" s="54" t="str">
        <x:v>owner-refined Sky aspect v10.1 corpus; owner direction, chat 2026-08-01</x:v>
      </x:c>
      <x:c r="J186" s="56" t="str">
        <x:v>A quiet infrastructure overhaul can shift power without forcing everyone through a public crisis first.</x:v>
      </x:c>
      <x:c r="K186" s="56" t="str">
        <x:v>A quiet infrastructure overhaul can shift power without forcing everyone through a public crisis first. Uranus trine Pluto can help technology, ownership, and authority change together when the work has been planned around cost, deadlines, and the people who still need the system to function every day. The strongest reform may look boring from the outside. Let it. Measure the change by who can now access the tool, make a decision, or move without asking the old gatekeeper for permission.</x:v>
      </x:c>
      <x:c r="L186" s="56" t="str">
        <x:v>Completed generic pair-aspect fallback. Use only when sign/date context is unavailable.</x:v>
      </x:c>
      <x:c r="M186" s="56" t="str">
        <x:v>REVIEW READY</x:v>
      </x:c>
      <x:c r="N186" s="54" t="str">
        <x:v>packages/astro-knowledge/data/transits/uranus-trine-pluto.json</x:v>
      </x:c>
      <x:c r="O186" s="71" t="str">
        <x:v>5e0bdc142da734f72d745d6f6c63f374fe4c12eba1a11ba1a9e200f89d80853b</x:v>
      </x:c>
      <x:c r="P186" s="75" t="str">
        <x:v>INCLUDE</x:v>
      </x:c>
      <x:c r="Q186" s="79" t="str"/>
    </x:row>
    <x:row r="187" ht="92" customHeight="1">
      <x:c r="A187" s="54" t="n">
        <x:v>185</x:v>
      </x:c>
      <x:c r="B187" s="54" t="str">
        <x:v>sky.uranus.sextile.pluto</x:v>
      </x:c>
      <x:c r="C187" s="54" t="str">
        <x:v>Uranus sextile Pluto</x:v>
      </x:c>
      <x:c r="D187" s="54" t="str">
        <x:v>uranus</x:v>
      </x:c>
      <x:c r="E187" s="54" t="str">
        <x:v>sextile</x:v>
      </x:c>
      <x:c r="F187" s="54" t="str">
        <x:v>pluto</x:v>
      </x:c>
      <x:c r="G187" s="54" t="str">
        <x:v>A targeted infrastructure change gives ordinary participants access to tools once guarded by gatekeepers.</x:v>
      </x:c>
      <x:c r="H187" s="54" t="str">
        <x:v>A targeted infrastructure change gives ordinary participants access to tools once guarded by gatekeepers. Someone uses a legal opening, technical update, or ownership shift to move control closer to the people using the system. Uranus changes the working route, while Pluto reveals who has held the money, data, and authority underneath it. The sextile creates a practical opening for power to move, but someone still has to redesign access rather than merely announce reform. The shift takes root because the change can be seen in who is now able to enter, decide, and leave.</x:v>
      </x:c>
      <x:c r="I187" s="54" t="str">
        <x:v>owner-refined Sky aspect v10.1 corpus; owner direction, chat 2026-08-01</x:v>
      </x:c>
      <x:c r="J187" s="56" t="str">
        <x:v>One legal opening, technical update, or ownership change may give ordinary users access to tools that used to sit behind a gatekeeper.</x:v>
      </x:c>
      <x:c r="K187" s="56" t="str">
        <x:v>One legal opening, technical update, or ownership change may give ordinary users access to tools that used to sit behind a gatekeeper. Uranus sextile Pluto can create a practical chance to move power closer to the people actually using the system, but the opening is only useful if the access changes with it. Rewrite the permissions, ownership, or decision rights while the route is open. A reform has gone far enough when people can point to what they are now allowed to enter, control, or leave without asking the same authority as before.</x:v>
      </x:c>
      <x:c r="L187" s="56" t="str">
        <x:v>Completed generic pair-aspect fallback. Use only when sign/date context is unavailable.</x:v>
      </x:c>
      <x:c r="M187" s="56" t="str">
        <x:v>REVIEW READY</x:v>
      </x:c>
      <x:c r="N187" s="54" t="str">
        <x:v>packages/astro-knowledge/data/transits/uranus-sextile-pluto.json</x:v>
      </x:c>
      <x:c r="O187" s="71" t="str">
        <x:v>3c481129685fac96680d229e77748dc330f7346aa6eff509b47ac11105b5fea0</x:v>
      </x:c>
      <x:c r="P187" s="75" t="str">
        <x:v>INCLUDE</x:v>
      </x:c>
      <x:c r="Q187" s="79" t="str"/>
    </x:row>
    <x:row r="188" ht="92" customHeight="1">
      <x:c r="A188" s="54" t="n">
        <x:v>186</x:v>
      </x:c>
      <x:c r="B188" s="54" t="str">
        <x:v>sky.venus.conjunction.jupiter</x:v>
      </x:c>
      <x:c r="C188" s="54" t="str">
        <x:v>Venus conjunction Jupiter</x:v>
      </x:c>
      <x:c r="D188" s="54" t="str">
        <x:v>venus</x:v>
      </x:c>
      <x:c r="E188" s="54" t="str">
        <x:v>conjunction</x:v>
      </x:c>
      <x:c r="F188" s="54" t="str">
        <x:v>jupiter</x:v>
      </x:c>
      <x:c r="G188" s="54" t="str">
        <x:v>Every enthusiastic yes makes the party, purchase, or promise larger and harder to scale back.</x:v>
      </x:c>
      <x:c r="H188" s="54" t="str">
        <x:v>Every enthusiastic yes makes the party, purchase, or promise larger and harder to scale back. The guest list grows, another upgrade is added, or a generous offer turns into a much bigger commitment than anyone first discussed. Venus makes the offer attractive, while Jupiter increases its size, price, and social momentum. Under the conjunction, pleasure and expansion feed each other before anyone names the limit. The abundance may feel joyful until enjoyment quietly becomes an expectation someone is now responsible for meeting.</x:v>
      </x:c>
      <x:c r="I188" s="54" t="str">
        <x:v>owner-refined Sky aspect v10.1 corpus; owner direction, chat 2026-08-01</x:v>
      </x:c>
      <x:c r="J188" s="56" t="str">
        <x:v>Every enthusiastic yes can make the party, purchase, or promise larger than the version anyone originally agreed to pay for.</x:v>
      </x:c>
      <x:c r="K188" s="56" t="str">
        <x:v>Every enthusiastic yes can make the party, purchase, or promise larger than the version anyone originally agreed to pay for. Venus conjunct Jupiter can make pleasure and generosity feed each other until another guest, upgrade, gift, or public promise feels too good to refuse. The problem usually appears on the bill, the schedule, or the person expected to keep the experience feeling abundant. Enjoy the expansion, but name the limit while the choices are still optional. Generosity gets less generous once somebody else is quietly financing it with their money or time.</x:v>
      </x:c>
      <x:c r="L188" s="56" t="str">
        <x:v>Completed generic pair-aspect fallback. Use only when sign/date context is unavailable.</x:v>
      </x:c>
      <x:c r="M188" s="56" t="str">
        <x:v>REVIEW READY</x:v>
      </x:c>
      <x:c r="N188" s="54" t="str">
        <x:v>packages/astro-knowledge/data/transits/venus-conjunction-jupiter.json</x:v>
      </x:c>
      <x:c r="O188" s="71" t="str">
        <x:v>066ac58d1345f60b8705782ae46b046411915444793b4420f45c6e75b9e532fd</x:v>
      </x:c>
      <x:c r="P188" s="75" t="str">
        <x:v>INCLUDE</x:v>
      </x:c>
      <x:c r="Q188" s="79" t="str"/>
    </x:row>
    <x:row r="189" ht="92" customHeight="1">
      <x:c r="A189" s="54" t="n">
        <x:v>187</x:v>
      </x:c>
      <x:c r="B189" s="54" t="str">
        <x:v>sky.venus.opposition.jupiter</x:v>
      </x:c>
      <x:c r="C189" s="54" t="str">
        <x:v>Venus opposition Jupiter</x:v>
      </x:c>
      <x:c r="D189" s="54" t="str">
        <x:v>venus</x:v>
      </x:c>
      <x:c r="E189" s="54" t="str">
        <x:v>opposition</x:v>
      </x:c>
      <x:c r="F189" s="54" t="str">
        <x:v>jupiter</x:v>
      </x:c>
      <x:c r="G189" s="54" t="str">
        <x:v>The public offer looks generous while the people responsible for funding or delivering it warn that the terms cannot extend to everyone.</x:v>
      </x:c>
      <x:c r="H189" s="54" t="str">
        <x:v>The public offer looks generous while the people responsible for funding or delivering it warn that the terms cannot extend to everyone. One side points to inclusion, celebration, and the opportunity to grow; the other points to limits, unequal shares, and promises already made. Venus holds the value of the agreement, while Jupiter keeps widening who expects to benefit from it. The opposition places generosity across from the cost of making the offer real. The plan may expand, but the negotiation reveals whose share was treated as available whenever the vision needed more room.</x:v>
      </x:c>
      <x:c r="I189" s="54" t="str">
        <x:v>owner-refined Sky aspect v10.1 corpus; owner direction, chat 2026-08-01</x:v>
      </x:c>
      <x:c r="J189" s="56" t="str">
        <x:v>A generous public offer may be impossible to extend to everyone under the same terms.</x:v>
      </x:c>
      <x:c r="K189" s="56" t="str">
        <x:v>A generous public offer may be impossible to extend to everyone under the same terms. Venus opposite Jupiter can put the desire to include more people directly against the budget, inventory, or prior agreements that already determine who gets what. Expanding the benefit can be worthwhile. It should not happen by quietly taking from the people who were promised a share first. Put the cost of the larger offer on the table. If growth requires someone else's portion to shrink, say that before calling the change generosity.</x:v>
      </x:c>
      <x:c r="L189" s="56" t="str">
        <x:v>Completed generic pair-aspect fallback. Use only when sign/date context is unavailable.</x:v>
      </x:c>
      <x:c r="M189" s="56" t="str">
        <x:v>REVIEW READY</x:v>
      </x:c>
      <x:c r="N189" s="54" t="str">
        <x:v>packages/astro-knowledge/data/transits/venus-opposition-jupiter.json</x:v>
      </x:c>
      <x:c r="O189" s="71" t="str">
        <x:v>e325351a6d07851bde7709ad0a1afd73b418d76276b3158b1e035fe8a82f5d8c</x:v>
      </x:c>
      <x:c r="P189" s="75" t="str">
        <x:v>INCLUDE</x:v>
      </x:c>
      <x:c r="Q189" s="79" t="str"/>
    </x:row>
    <x:row r="190" ht="92" customHeight="1">
      <x:c r="A190" s="54" t="n">
        <x:v>188</x:v>
      </x:c>
      <x:c r="B190" s="54" t="str">
        <x:v>sky.venus.square.jupiter</x:v>
      </x:c>
      <x:c r="C190" s="54" t="str">
        <x:v>Venus square Jupiter</x:v>
      </x:c>
      <x:c r="D190" s="54" t="str">
        <x:v>venus</x:v>
      </x:c>
      <x:c r="E190" s="54" t="str">
        <x:v>square</x:v>
      </x:c>
      <x:c r="F190" s="54" t="str">
        <x:v>jupiter</x:v>
      </x:c>
      <x:c r="G190" s="54" t="str">
        <x:v>The event, purchase, or promise grows more expensive every time someone says yes.</x:v>
      </x:c>
      <x:c r="H190" s="54" t="str">
        <x:v>The event, purchase, or promise grows more expensive every time someone says yes. Upgrades, guests, gifts, and public expectations keep multiplying while the budget remains attached to the smaller plan approved at the beginning. Venus keeps the offer appealing, while Jupiter enlarges the scale and social pressure surrounding it. The square pushes enjoyment past the point where money and labor can support the image. The result may look abundant, but someone is left absorbing the bill for a generosity everyone else applauded.</x:v>
      </x:c>
      <x:c r="I190" s="54" t="str">
        <x:v>owner-refined Sky aspect v10.1 corpus; owner direction, chat 2026-08-01</x:v>
      </x:c>
      <x:c r="J190" s="56" t="str">
        <x:v>The event, purchase, or promise may get more expensive every time someone adds one more good idea.</x:v>
      </x:c>
      <x:c r="K190" s="56" t="str">
        <x:v>The event, purchase, or promise may get more expensive every time someone adds one more good idea. Venus square Jupiter can make upgrades, guests, gifts, and expectations pile onto a budget that still belongs to the smaller plan. The result can look generous while one person is carrying the overage in money, hours, or cleanup. Stop adding before the pleasure becomes another obligation nobody agreed to fund. Compare the current price and workload with the original yes, then decide what still belongs in the plan.</x:v>
      </x:c>
      <x:c r="L190" s="56" t="str">
        <x:v>Completed generic pair-aspect fallback. Use only when sign/date context is unavailable.</x:v>
      </x:c>
      <x:c r="M190" s="56" t="str">
        <x:v>REVIEW READY</x:v>
      </x:c>
      <x:c r="N190" s="54" t="str">
        <x:v>packages/astro-knowledge/data/transits/venus-square-jupiter.json</x:v>
      </x:c>
      <x:c r="O190" s="71" t="str">
        <x:v>2e9a86ff8d70073fdf4b645cd949d2b4d9ca21271a6b8a4823d6ba3684628e30</x:v>
      </x:c>
      <x:c r="P190" s="75" t="str">
        <x:v>INCLUDE</x:v>
      </x:c>
      <x:c r="Q190" s="79" t="str"/>
    </x:row>
    <x:row r="191" ht="92" customHeight="1">
      <x:c r="A191" s="54" t="n">
        <x:v>189</x:v>
      </x:c>
      <x:c r="B191" s="54" t="str">
        <x:v>sky.venus.trine.jupiter</x:v>
      </x:c>
      <x:c r="C191" s="54" t="str">
        <x:v>Venus trine Jupiter</x:v>
      </x:c>
      <x:c r="D191" s="54" t="str">
        <x:v>venus</x:v>
      </x:c>
      <x:c r="E191" s="54" t="str">
        <x:v>trine</x:v>
      </x:c>
      <x:c r="F191" s="54" t="str">
        <x:v>jupiter</x:v>
      </x:c>
      <x:c r="G191" s="54" t="str">
        <x:v>Money, goodwill, and public support arrive around an effort people are genuinely glad to back.</x:v>
      </x:c>
      <x:c r="H191" s="54" t="str">
        <x:v>Money, goodwill, and public support arrive around an effort people are genuinely glad to back. A fundraiser clears its goal, a celebration includes the people who built it, or a partnership expands without reducing anyone's share to make room. Venus keeps pleasure and fairness in the exchange, while Jupiter increases the generosity and the number of people who benefit. Under the trine, appreciation grows without requiring the original value to be exaggerated. The abundance feels real because more people benefit without the early contributors being quietly pushed aside.</x:v>
      </x:c>
      <x:c r="I191" s="54" t="str">
        <x:v>owner-refined Sky aspect v10.1 corpus; owner direction, chat 2026-08-01</x:v>
      </x:c>
      <x:c r="J191" s="56" t="str">
        <x:v>Money, goodwill, and public support can arrive around something people are genuinely glad to back.</x:v>
      </x:c>
      <x:c r="K191" s="56" t="str">
        <x:v>Money, goodwill, and public support can arrive around something people are genuinely glad to back. Venus trine Jupiter can make generosity easier to receive and easier to extend, especially when a fundraiser clears its goal, a celebration includes the people who built it, or a partnership grows without reducing anyone's share to make room. Let the good response be good. Then protect what made it worth supporting. Pay the contributors, keep the terms fair, and use the extra resources to widen the benefit rather than decorate the success.</x:v>
      </x:c>
      <x:c r="L191" s="56" t="str">
        <x:v>Completed generic pair-aspect fallback. Use only when sign/date context is unavailable.</x:v>
      </x:c>
      <x:c r="M191" s="56" t="str">
        <x:v>REVIEW READY</x:v>
      </x:c>
      <x:c r="N191" s="54" t="str">
        <x:v>packages/astro-knowledge/data/transits/venus-trine-jupiter.json</x:v>
      </x:c>
      <x:c r="O191" s="71" t="str">
        <x:v>cd1ba9c8f4091081611f401fb10861f96674046f3a4ec8db49be45dd67504c22</x:v>
      </x:c>
      <x:c r="P191" s="75" t="str">
        <x:v>INCLUDE</x:v>
      </x:c>
      <x:c r="Q191" s="79" t="str"/>
    </x:row>
    <x:row r="192" ht="92" customHeight="1">
      <x:c r="A192" s="54" t="n">
        <x:v>190</x:v>
      </x:c>
      <x:c r="B192" s="54" t="str">
        <x:v>sky.venus.sextile.jupiter</x:v>
      </x:c>
      <x:c r="C192" s="54" t="str">
        <x:v>Venus sextile Jupiter</x:v>
      </x:c>
      <x:c r="D192" s="54" t="str">
        <x:v>venus</x:v>
      </x:c>
      <x:c r="E192" s="54" t="str">
        <x:v>sextile</x:v>
      </x:c>
      <x:c r="F192" s="54" t="str">
        <x:v>jupiter</x:v>
      </x:c>
      <x:c r="G192" s="54" t="str">
        <x:v>A generous offer reaches the right person just as a smaller plan needs room to grow.</x:v>
      </x:c>
      <x:c r="H192" s="54" t="str">
        <x:v>A generous offer reaches the right person just as a smaller plan needs room to grow. Someone uses the added budget, invitation, introduction, or public support to secure the next step before enthusiasm moves elsewhere. Venus makes the opportunity attractive and mutually valuable, while Jupiter widens its reach and available resources. The sextile opens a larger social or financial door, but a person still has to accept the offer and use it well. The benefit lasts because the extra support is attached to a clear purpose instead of being spent on appearance alone.</x:v>
      </x:c>
      <x:c r="I192" s="54" t="str">
        <x:v>owner-refined Sky aspect v10.1 corpus; owner direction, chat 2026-08-01</x:v>
      </x:c>
      <x:c r="J192" s="56" t="str">
        <x:v>A generous offer may reach the right person just as a smaller plan needs room to grow.</x:v>
      </x:c>
      <x:c r="K192" s="56" t="str">
        <x:v>A generous offer may reach the right person just as a smaller plan needs room to grow. Venus sextile Jupiter can bring an introduction, extra budget, invitation, or public endorsement that opens a larger social or financial door without requiring the whole project to change direction. Use the help on the part that was actually stuck. Secure the space, make the hire, place the order, or follow the introduction while the offer is active. A good opportunity becomes useful when the added support has a specific job.</x:v>
      </x:c>
      <x:c r="L192" s="56" t="str">
        <x:v>Completed generic pair-aspect fallback. Use only when sign/date context is unavailable.</x:v>
      </x:c>
      <x:c r="M192" s="56" t="str">
        <x:v>REVIEW READY</x:v>
      </x:c>
      <x:c r="N192" s="54" t="str">
        <x:v>packages/astro-knowledge/data/transits/venus-sextile-jupiter.json</x:v>
      </x:c>
      <x:c r="O192" s="71" t="str">
        <x:v>8eb9347799d70798b2f1edd09349456a66a0442708b4212baa6d5305e2a978fc</x:v>
      </x:c>
      <x:c r="P192" s="75" t="str">
        <x:v>INCLUDE</x:v>
      </x:c>
      <x:c r="Q192" s="79" t="str"/>
    </x:row>
    <x:row r="193" ht="92" customHeight="1">
      <x:c r="A193" s="54" t="n">
        <x:v>191</x:v>
      </x:c>
      <x:c r="B193" s="54" t="str">
        <x:v>sky.venus.conjunction.mars</x:v>
      </x:c>
      <x:c r="C193" s="54" t="str">
        <x:v>Venus conjunction Mars</x:v>
      </x:c>
      <x:c r="D193" s="54" t="str">
        <x:v>venus</x:v>
      </x:c>
      <x:c r="E193" s="54" t="str">
        <x:v>conjunction</x:v>
      </x:c>
      <x:c r="F193" s="54" t="str">
        <x:v>mars</x:v>
      </x:c>
      <x:c r="G193" s="54" t="str">
        <x:v>An offer and the move to claim it happen in the same moment.</x:v>
      </x:c>
      <x:c r="H193" s="54" t="str">
        <x:v>An offer and the move to claim it happen in the same moment. A bid is placed, a partnership begins, a public invitation is accepted, or a private attraction becomes an action before either side has time to retreat into polite ambiguity. Venus makes the result desirable, while Mars gives the desire a direction and consequence. Under the conjunction, wanting and pursuing become part of the same event. The spark may open a serious opportunity, but it does not answer whether both sides still want the same outcome after the first move is made.</x:v>
      </x:c>
      <x:c r="I193" s="54" t="str">
        <x:v>owner-refined Sky aspect v10.1 corpus; owner direction, chat 2026-08-01</x:v>
      </x:c>
      <x:c r="J193" s="56" t="str">
        <x:v>An offer and the move to claim it can happen in the same moment.</x:v>
      </x:c>
      <x:c r="K193" s="56" t="str">
        <x:v>An offer and the move to claim it can happen in the same moment. Venus conjunct Mars can make attraction, money, creativity, or agreement move from interest to action before either side has time to hide behind polite ambiguity. A bid gets placed. An invitation is accepted. A private attraction becomes a public choice. The spark is not the whole agreement. After the first move, confirm that both sides still want the same price, pace, role, or outcome before momentum starts deciding the terms on their behalf.</x:v>
      </x:c>
      <x:c r="L193" s="56" t="str">
        <x:v>Completed generic pair-aspect fallback. Use only when sign/date context is unavailable.</x:v>
      </x:c>
      <x:c r="M193" s="56" t="str">
        <x:v>REVIEW READY</x:v>
      </x:c>
      <x:c r="N193" s="54" t="str">
        <x:v>packages/astro-knowledge/data/transits/venus-conjunction-mars.json</x:v>
      </x:c>
      <x:c r="O193" s="71" t="str">
        <x:v>e63d98f7742fd0d635602b2530674342144855185bdadddfee8c692383539d1e</x:v>
      </x:c>
      <x:c r="P193" s="75" t="str">
        <x:v>INCLUDE</x:v>
      </x:c>
      <x:c r="Q193" s="79" t="str"/>
    </x:row>
    <x:row r="194" ht="92" customHeight="1">
      <x:c r="A194" s="54" t="n">
        <x:v>192</x:v>
      </x:c>
      <x:c r="B194" s="54" t="str">
        <x:v>sky.venus.opposition.mars</x:v>
      </x:c>
      <x:c r="C194" s="54" t="str">
        <x:v>Venus opposition Mars</x:v>
      </x:c>
      <x:c r="D194" s="54" t="str">
        <x:v>venus</x:v>
      </x:c>
      <x:c r="E194" s="54" t="str">
        <x:v>opposition</x:v>
      </x:c>
      <x:c r="F194" s="54" t="str">
        <x:v>mars</x:v>
      </x:c>
      <x:c r="G194" s="54" t="str">
        <x:v>The person making the offer faces the person who wants different terms and is willing to force the issue.</x:v>
      </x:c>
      <x:c r="H194" s="54" t="str">
        <x:v>The person making the offer faces the person who wants different terms and is willing to force the issue. One side emphasizes relationship, fairness, and what both parties stand to gain; the other emphasizes urgency, desire, and the cost of waiting. Venus holds the value of mutual agreement, while Mars gives the competing demand its edge and momentum. The opposition places attraction and conflict across from each other so neither can hide inside the other. The result may be compelling, but everyone sees whether the agreement survives without the pursuit or resistance that created the heat.</x:v>
      </x:c>
      <x:c r="I194" s="54" t="str">
        <x:v>owner-refined Sky aspect v10.1 corpus; owner direction, chat 2026-08-01</x:v>
      </x:c>
      <x:c r="J194" s="56" t="str">
        <x:v>The person making the offer may face someone who wants different terms and is willing to push for them.</x:v>
      </x:c>
      <x:c r="K194" s="56" t="str">
        <x:v>The person making the offer may face someone who wants different terms and is willing to push for them. Venus opposite Mars can make attraction and conflict share the same negotiation, especially when one side wants cooperation and the other wants a faster answer, a lower price, or more control over the next move. Interest does not erase disagreement. Put the terms where both sides can see them. If the offer only works while one person is chasing and the other is resisting, the chemistry is doing more work than the agreement.</x:v>
      </x:c>
      <x:c r="L194" s="56" t="str">
        <x:v>Completed generic pair-aspect fallback. Use only when sign/date context is unavailable.</x:v>
      </x:c>
      <x:c r="M194" s="56" t="str">
        <x:v>REVIEW READY</x:v>
      </x:c>
      <x:c r="N194" s="54" t="str">
        <x:v>packages/astro-knowledge/data/transits/venus-opposition-mars.json</x:v>
      </x:c>
      <x:c r="O194" s="71" t="str">
        <x:v>3763f8310437d4c4b28169bd3c6386029957eddc5e10bddcfd42847278a9f81f</x:v>
      </x:c>
      <x:c r="P194" s="75" t="str">
        <x:v>INCLUDE</x:v>
      </x:c>
      <x:c r="Q194" s="79" t="str"/>
    </x:row>
    <x:row r="195" ht="92" customHeight="1">
      <x:c r="A195" s="54" t="n">
        <x:v>193</x:v>
      </x:c>
      <x:c r="B195" s="54" t="str">
        <x:v>sky.venus.square.mars</x:v>
      </x:c>
      <x:c r="C195" s="54" t="str">
        <x:v>Venus square Mars</x:v>
      </x:c>
      <x:c r="D195" s="54" t="str">
        <x:v>venus</x:v>
      </x:c>
      <x:c r="E195" s="54" t="str">
        <x:v>square</x:v>
      </x:c>
      <x:c r="F195" s="54" t="str">
        <x:v>mars</x:v>
      </x:c>
      <x:c r="G195" s="54" t="str">
        <x:v>A desirable offer becomes a fight over who sets the pace and terms.</x:v>
      </x:c>
      <x:c r="H195" s="54" t="str">
        <x:v>A desirable offer becomes a fight over who sets the pace and terms. One side pushes for an immediate commitment, purchase, answer, or public show of support, while the other resents being rushed into proving interest. Venus protects consent, value, and the quality of the exchange, while Mars keeps pressing for action now. The square makes every delay feel like rejection and every demand feel like another reason to pull back. The deal may still happen, but the pressure reveals whether either side respects the person attached to the yes.</x:v>
      </x:c>
      <x:c r="I195" s="54" t="str">
        <x:v>owner-refined Sky aspect v10.1 corpus; owner direction, chat 2026-08-01</x:v>
      </x:c>
      <x:c r="J195" s="56" t="str">
        <x:v>A desirable offer can become a fight over who gets to set the pace.</x:v>
      </x:c>
      <x:c r="K195" s="56" t="str">
        <x:v>A desirable offer can become a fight over who gets to set the pace. Venus square Mars can make an immediate commitment, purchase, answer, or public show of support feel like proof of interest, while the person being rushed starts pulling back simply to regain room to choose. Pressure turns the yes into weaker evidence of agreement. Slow down the part that has become a test. Name the price, date, boundary, or decision that actually needs agreement and give the other side enough space to answer it without having to fight for the right to think.</x:v>
      </x:c>
      <x:c r="L195" s="56" t="str">
        <x:v>Completed generic pair-aspect fallback. Use only when sign/date context is unavailable.</x:v>
      </x:c>
      <x:c r="M195" s="56" t="str">
        <x:v>REVIEW READY</x:v>
      </x:c>
      <x:c r="N195" s="54" t="str">
        <x:v>packages/astro-knowledge/data/transits/venus-square-mars.json</x:v>
      </x:c>
      <x:c r="O195" s="71" t="str">
        <x:v>93c5c9225ffd9e4a2faaf70c2ee7c11a5b131ab275dfc93ee4d16cd954de1564</x:v>
      </x:c>
      <x:c r="P195" s="75" t="str">
        <x:v>INCLUDE</x:v>
      </x:c>
      <x:c r="Q195" s="79" t="str"/>
    </x:row>
    <x:row r="196" ht="92" customHeight="1">
      <x:c r="A196" s="54" t="n">
        <x:v>194</x:v>
      </x:c>
      <x:c r="B196" s="54" t="str">
        <x:v>sky.venus.trine.mars</x:v>
      </x:c>
      <x:c r="C196" s="54" t="str">
        <x:v>Venus trine Mars</x:v>
      </x:c>
      <x:c r="D196" s="54" t="str">
        <x:v>venus</x:v>
      </x:c>
      <x:c r="E196" s="54" t="str">
        <x:v>trine</x:v>
      </x:c>
      <x:c r="F196" s="54" t="str">
        <x:v>mars</x:v>
      </x:c>
      <x:c r="G196" s="54" t="str">
        <x:v>Interest and effort move in the same direction without turning the exchange into a chase.</x:v>
      </x:c>
      <x:c r="H196" s="54" t="str">
        <x:v>Interest and effort move in the same direction without turning the exchange into a chase. Payment clears, the invitation is accepted, the work is divided, or a creative partnership begins with both sides contributing what they offered. Venus keeps the agreement mutually valuable, while Mars gives each person enough drive to participate fully. Under the trine, attraction and action reinforce each other without requiring conflict to keep the energy alive. The arrangement feels easy because nobody is carrying the entire burden of proving that it matters.</x:v>
      </x:c>
      <x:c r="I196" s="54" t="str">
        <x:v>owner-refined Sky aspect v10.1 corpus; owner direction, chat 2026-08-01</x:v>
      </x:c>
      <x:c r="J196" s="56" t="str">
        <x:v>Interest and effort may finally move in the same direction without turning the exchange into a chase.</x:v>
      </x:c>
      <x:c r="K196" s="56" t="str">
        <x:v>Interest and effort may finally move in the same direction without turning the exchange into a chase. Venus trine Mars can help payment clear, an invitation land, or a creative partnership begin with both sides contributing what they said they would. The ease comes from reciprocity, not passivity. Keep it that way. Let each person carry a visible part of the work, cost, or initiative so nobody has to keep proving that the agreement matters by doing more than their share.</x:v>
      </x:c>
      <x:c r="L196" s="56" t="str">
        <x:v>Completed generic pair-aspect fallback. Use only when sign/date context is unavailable.</x:v>
      </x:c>
      <x:c r="M196" s="56" t="str">
        <x:v>REVIEW READY</x:v>
      </x:c>
      <x:c r="N196" s="54" t="str">
        <x:v>packages/astro-knowledge/data/transits/venus-trine-mars.json</x:v>
      </x:c>
      <x:c r="O196" s="71" t="str">
        <x:v>b340401626214dee76984e167c0bcb846f22e37ac22bae216fad24d0c52d6867</x:v>
      </x:c>
      <x:c r="P196" s="75" t="str">
        <x:v>INCLUDE</x:v>
      </x:c>
      <x:c r="Q196" s="79" t="str"/>
    </x:row>
    <x:row r="197" ht="92" customHeight="1">
      <x:c r="A197" s="54" t="n">
        <x:v>195</x:v>
      </x:c>
      <x:c r="B197" s="54" t="str">
        <x:v>sky.venus.sextile.mars</x:v>
      </x:c>
      <x:c r="C197" s="54" t="str">
        <x:v>Venus sextile Mars</x:v>
      </x:c>
      <x:c r="D197" s="54" t="str">
        <x:v>venus</x:v>
      </x:c>
      <x:c r="E197" s="54" t="str">
        <x:v>sextile</x:v>
      </x:c>
      <x:c r="F197" s="54" t="str">
        <x:v>mars</x:v>
      </x:c>
      <x:c r="G197" s="54" t="str">
        <x:v>A stalled agreement moves after someone makes a direct, workable offer.</x:v>
      </x:c>
      <x:c r="H197" s="54" t="str">
        <x:v>A stalled agreement moves after someone makes a direct, workable offer. One person names the price, date, role, or boundary and gives the other side a clear action that would keep the deal alive. Venus protects the value of the exchange, while Mars supplies the initiative required to move it out of discussion. The sextile creates an opening for cooperation, but someone still has to make the first move. The arrangement gains momentum because interest is backed by an action the other side can answer.</x:v>
      </x:c>
      <x:c r="I197" s="54" t="str">
        <x:v>owner-refined Sky aspect v10.1 corpus; owner direction, chat 2026-08-01</x:v>
      </x:c>
      <x:c r="J197" s="56" t="str">
        <x:v>A stalled agreement may move once somebody makes a direct offer the other side can actually answer.</x:v>
      </x:c>
      <x:c r="K197" s="56" t="str">
        <x:v>A stalled agreement may move once somebody makes a direct offer the other side can actually answer. Venus sextile Mars can turn vague interest into a price, date, role, boundary, or next step without making the whole exchange confrontational. Do not make the other person guess what action would keep the deal alive. Say what is being offered and what response is needed. One specific move is enough to test if the interest is mutual before anyone spends more time negotiating with a possibility.</x:v>
      </x:c>
      <x:c r="L197" s="56" t="str">
        <x:v>Completed generic pair-aspect fallback. Use only when sign/date context is unavailable.</x:v>
      </x:c>
      <x:c r="M197" s="56" t="str">
        <x:v>REVIEW READY</x:v>
      </x:c>
      <x:c r="N197" s="54" t="str">
        <x:v>packages/astro-knowledge/data/transits/venus-sextile-mars.json</x:v>
      </x:c>
      <x:c r="O197" s="71" t="str">
        <x:v>3ceddeb4f0d436290b54a4da79b4b09e216c9e60bc9403c14f6d597aef86a9b5</x:v>
      </x:c>
      <x:c r="P197" s="75" t="str">
        <x:v>INCLUDE</x:v>
      </x:c>
      <x:c r="Q197" s="79" t="str"/>
    </x:row>
    <x:row r="198" ht="92" customHeight="1">
      <x:c r="A198" s="54" t="n">
        <x:v>196</x:v>
      </x:c>
      <x:c r="B198" s="54" t="str">
        <x:v>sky.venus.conjunction.neptune</x:v>
      </x:c>
      <x:c r="C198" s="54" t="str">
        <x:v>Venus conjunction Neptune</x:v>
      </x:c>
      <x:c r="D198" s="54" t="str">
        <x:v>venus</x:v>
      </x:c>
      <x:c r="E198" s="54" t="str">
        <x:v>conjunction</x:v>
      </x:c>
      <x:c r="F198" s="54" t="str">
        <x:v>neptune</x:v>
      </x:c>
      <x:c r="G198" s="54" t="str">
        <x:v>An offer becomes more powerful because each person sees their own hope reflected in it.</x:v>
      </x:c>
      <x:c r="H198" s="54" t="str">
        <x:v>An offer becomes more powerful because each person sees their own hope reflected in it. A creative deal, relationship promise, purchase, or charitable appeal gathers support while the exact terms remain soft enough to preserve the fantasy. Venus makes the exchange desirable, while Neptune surrounds it with longing, beauty, and the belief that ordinary limits may not apply. Under the conjunction, value and projection become difficult to separate. The experience may feel extraordinary until money, time, or commitment forces everyone to name what they thought they were receiving.</x:v>
      </x:c>
      <x:c r="I198" s="54" t="str">
        <x:v>owner-refined Sky aspect v10.1 corpus; owner direction, chat 2026-08-01</x:v>
      </x:c>
      <x:c r="J198" s="56" t="str">
        <x:v>An offer can become more powerful because each person sees their own hope reflected inside it.</x:v>
      </x:c>
      <x:c r="K198" s="56" t="str">
        <x:v>An offer can become more powerful because each person sees their own hope reflected inside it. Venus conjunct Neptune can make a creative deal, relationship promise, purchase, or charitable appeal feel unusually meaningful while the exact terms stay soft enough for everyone to imagine a different outcome. Beauty and goodwill are not the problem. Unnamed expectations are. Put the price, commitment, ownership, and timeline into plain language before the fantasy has to survive ordinary life. If naming the terms ruins the appeal, the appeal was carrying too much of the agreement.</x:v>
      </x:c>
      <x:c r="L198" s="56" t="str">
        <x:v>Completed generic pair-aspect fallback. Use only when sign/date context is unavailable.</x:v>
      </x:c>
      <x:c r="M198" s="56" t="str">
        <x:v>REVIEW READY</x:v>
      </x:c>
      <x:c r="N198" s="54" t="str">
        <x:v>packages/astro-knowledge/data/transits/venus-conjunction-neptune.json</x:v>
      </x:c>
      <x:c r="O198" s="71" t="str">
        <x:v>875b5d75fadc4af8ca421b9fe22896396d8dbcf10b5fc19d0fcb65e31b824453</x:v>
      </x:c>
      <x:c r="P198" s="75" t="str">
        <x:v>INCLUDE</x:v>
      </x:c>
      <x:c r="Q198" s="79" t="str"/>
    </x:row>
    <x:row r="199" ht="92" customHeight="1">
      <x:c r="A199" s="54" t="n">
        <x:v>197</x:v>
      </x:c>
      <x:c r="B199" s="54" t="str">
        <x:v>sky.venus.opposition.neptune</x:v>
      </x:c>
      <x:c r="C199" s="54" t="str">
        <x:v>Venus opposition Neptune</x:v>
      </x:c>
      <x:c r="D199" s="54" t="str">
        <x:v>venus</x:v>
      </x:c>
      <x:c r="E199" s="54" t="str">
        <x:v>opposition</x:v>
      </x:c>
      <x:c r="F199" s="54" t="str">
        <x:v>neptune</x:v>
      </x:c>
      <x:c r="G199" s="54" t="str">
        <x:v>Fast chemistry and easy enthusiasm get mistaken for a firm commitment.</x:v>
      </x:c>
      <x:c r="H199" s="54" t="str">
        <x:v>Fast chemistry and easy enthusiasm get mistaken for a firm commitment. A trip, joint venture, or social plan gathers momentum before anyone checks the cost or writes down the terms. Venus keeps the interest alive, while Neptune lets the grand vision outrun the facts. The opposition places the irresistible version of the offer across from the price and conditions nobody confirmed. The ideal outcome may remain attractive even as confusion grows over what was agreed and who is expected to pay.</x:v>
      </x:c>
      <x:c r="I199" s="54" t="str">
        <x:v>owner-refined Sky aspect v10.1 corpus; owner direction, chat 2026-08-01</x:v>
      </x:c>
      <x:c r="J199" s="56" t="str">
        <x:v>Fast chemistry or easy enthusiasm may start sounding like a firm commitment before anyone has confirmed the cost or terms.</x:v>
      </x:c>
      <x:c r="K199" s="56" t="str">
        <x:v>Fast chemistry or easy enthusiasm may start sounding like a firm commitment before anyone has confirmed the cost or terms. Venus opposite Neptune can put the irresistible version of an offer directly across from the details that were never discussed. A trip, joint venture, social plan, or relationship can gather momentum while each side is imagining a different promise. Ask the boring questions early. Who is paying, what is confirmed, what remains optional, and what happens if the ideal version never materializes? Clarity protects the part that is actually worth wanting.</x:v>
      </x:c>
      <x:c r="L199" s="56" t="str">
        <x:v>Completed generic pair-aspect fallback. Use only when sign/date context is unavailable.</x:v>
      </x:c>
      <x:c r="M199" s="56" t="str">
        <x:v>REVIEW READY</x:v>
      </x:c>
      <x:c r="N199" s="54" t="str">
        <x:v>packages/astro-knowledge/data/transits/venus-opposition-neptune.json</x:v>
      </x:c>
      <x:c r="O199" s="71" t="str">
        <x:v>d96100b02a75cf545a92bbeb1c78497cfdbad18b729492274b5c677ee88d25a5</x:v>
      </x:c>
      <x:c r="P199" s="75" t="str">
        <x:v>INCLUDE</x:v>
      </x:c>
      <x:c r="Q199" s="79" t="str"/>
    </x:row>
    <x:row r="200" ht="92" customHeight="1">
      <x:c r="A200" s="54" t="n">
        <x:v>198</x:v>
      </x:c>
      <x:c r="B200" s="54" t="str">
        <x:v>sky.venus.square.neptune</x:v>
      </x:c>
      <x:c r="C200" s="54" t="str">
        <x:v>Venus square Neptune</x:v>
      </x:c>
      <x:c r="D200" s="54" t="str">
        <x:v>venus</x:v>
      </x:c>
      <x:c r="E200" s="54" t="str">
        <x:v>square</x:v>
      </x:c>
      <x:c r="F200" s="54" t="str">
        <x:v>neptune</x:v>
      </x:c>
      <x:c r="G200" s="54" t="str">
        <x:v>A polished offer makes an uncertain agreement feel more secure than it is.</x:v>
      </x:c>
      <x:c r="H200" s="54" t="str">
        <x:v>A polished offer makes an uncertain agreement feel more secure than it is. Beautiful images, warm assurances, or fast chemistry carry the plan forward while price, availability, commitment, or ownership remains unresolved. Venus makes the possibility desirable, while Neptune fills missing terms with hope and projection. The square keeps the attractive version colliding with details nobody wanted to make less romantic or less sellable. The offer may remain tempting even after people realize they were agreeing to different outcomes.</x:v>
      </x:c>
      <x:c r="I200" s="54" t="str">
        <x:v>owner-refined Sky aspect v10.1 corpus; owner direction, chat 2026-08-01</x:v>
      </x:c>
      <x:c r="J200" s="56" t="str">
        <x:v>A polished offer may feel much more secure than the agreement underneath it.</x:v>
      </x:c>
      <x:c r="K200" s="56" t="str">
        <x:v>A polished offer may feel much more secure than the agreement underneath it. Venus square Neptune can make beautiful images, warm assurances, or fast chemistry carry a decision while price, availability, ownership, or commitment is still unresolved. The missing terms do not become kinder because everyone likes the idea. Put the vague part in writing before paying, booking, signing, or promising more. If two people cannot describe the same outcome in ordinary language, they are not agreeing to the same thing yet.</x:v>
      </x:c>
      <x:c r="L200" s="56" t="str">
        <x:v>Completed generic pair-aspect fallback. Use only when sign/date context is unavailable.</x:v>
      </x:c>
      <x:c r="M200" s="56" t="str">
        <x:v>REVIEW READY</x:v>
      </x:c>
      <x:c r="N200" s="54" t="str">
        <x:v>packages/astro-knowledge/data/transits/venus-square-neptune.json</x:v>
      </x:c>
      <x:c r="O200" s="71" t="str">
        <x:v>c1a6fd2bf06033a7dfef981ddd506f540efd92e4cd9f3d78a7de382907a4c3d1</x:v>
      </x:c>
      <x:c r="P200" s="75" t="str">
        <x:v>INCLUDE</x:v>
      </x:c>
      <x:c r="Q200" s="79" t="str"/>
    </x:row>
    <x:row r="201" ht="92" customHeight="1">
      <x:c r="A201" s="54" t="n">
        <x:v>199</x:v>
      </x:c>
      <x:c r="B201" s="54" t="str">
        <x:v>sky.venus.trine.neptune</x:v>
      </x:c>
      <x:c r="C201" s="54" t="str">
        <x:v>Venus trine Neptune</x:v>
      </x:c>
      <x:c r="D201" s="54" t="str">
        <x:v>venus</x:v>
      </x:c>
      <x:c r="E201" s="54" t="str">
        <x:v>trine</x:v>
      </x:c>
      <x:c r="F201" s="54" t="str">
        <x:v>neptune</x:v>
      </x:c>
      <x:c r="G201" s="54" t="str">
        <x:v>Art, care, and generosity meet in a way that moves people without manipulating them.</x:v>
      </x:c>
      <x:c r="H201" s="54" t="str">
        <x:v>Art, care, and generosity meet in a way that moves people without manipulating them. A performance funds relief, a gift honors a loss, or a gathering creates room for tenderness while making its purpose and costs clear. Venus gives the response beauty, warmth, and social grace, while Neptune connects it to grief, imagination, and collective feeling. Under the trine, pleasure and compassion reinforce each other without requiring anyone to ignore reality. The experience stays meaningful because the feeling is matched by something useful after the room empties.</x:v>
      </x:c>
      <x:c r="I201" s="54" t="str">
        <x:v>owner-refined Sky aspect v10.1 corpus; owner direction, chat 2026-08-01</x:v>
      </x:c>
      <x:c r="J201" s="56" t="str">
        <x:v>Art, care, and generosity can support each other without turning emotion into a sales tactic.</x:v>
      </x:c>
      <x:c r="K201" s="56" t="str">
        <x:v>Art, care, and generosity can support each other without turning emotion into a sales tactic. Venus trine Neptune can make a performance fund relief, a gift honor a loss, or a gathering create room for tenderness while the purpose remains clear. The beauty is part of why people respond, but it does not have to hide the cost or the need. Let the experience move people. Make sure the money, credit, and practical help still reach the place the event said it was supporting after the room empties.</x:v>
      </x:c>
      <x:c r="L201" s="56" t="str">
        <x:v>Completed generic pair-aspect fallback. Use only when sign/date context is unavailable.</x:v>
      </x:c>
      <x:c r="M201" s="56" t="str">
        <x:v>REVIEW READY</x:v>
      </x:c>
      <x:c r="N201" s="54" t="str">
        <x:v>packages/astro-knowledge/data/transits/venus-trine-neptune.json</x:v>
      </x:c>
      <x:c r="O201" s="71" t="str">
        <x:v>4113eb8d482f59c8d93ad792f2c32f1c69cdea4f76beba065505c1ccbb84ae71</x:v>
      </x:c>
      <x:c r="P201" s="75" t="str">
        <x:v>INCLUDE</x:v>
      </x:c>
      <x:c r="Q201" s="79" t="str"/>
    </x:row>
    <x:row r="202" ht="92" customHeight="1">
      <x:c r="A202" s="54" t="n">
        <x:v>200</x:v>
      </x:c>
      <x:c r="B202" s="54" t="str">
        <x:v>sky.venus.sextile.neptune</x:v>
      </x:c>
      <x:c r="C202" s="54" t="str">
        <x:v>Venus sextile Neptune</x:v>
      </x:c>
      <x:c r="D202" s="54" t="str">
        <x:v>venus</x:v>
      </x:c>
      <x:c r="E202" s="54" t="str">
        <x:v>sextile</x:v>
      </x:c>
      <x:c r="F202" s="54" t="str">
        <x:v>neptune</x:v>
      </x:c>
      <x:c r="G202" s="54" t="str">
        <x:v>A beautiful idea receives enough practical support to become more than a mood.</x:v>
      </x:c>
      <x:c r="H202" s="54" t="str">
        <x:v>A beautiful idea receives enough practical support to become more than a mood. Someone secures the room, budget, contact, or agreement that gives a memorial, creative collaboration, benefit, or act of care a real place to happen. Venus makes the offer inviting and relational, while Neptune supplies the imagination and compassion behind it. The sextile opens a way to give the vision form, but someone still has to handle the concrete arrangement. The result feels generous because the beauty directs attention toward a real need instead of distracting from it.</x:v>
      </x:c>
      <x:c r="I202" s="54" t="str">
        <x:v>owner-refined Sky aspect v10.1 corpus; owner direction, chat 2026-08-01</x:v>
      </x:c>
      <x:c r="J202" s="56" t="str">
        <x:v>A beautiful idea may receive just enough practical support to become an actual event, collaboration, benefit, or act of care.</x:v>
      </x:c>
      <x:c r="K202" s="56" t="str">
        <x:v>A beautiful idea may receive just enough practical support to become an actual event, collaboration, benefit, or act of care. Venus sextile Neptune can help imagination find a room, budget, contact, or agreement without forcing the idea to lose the feeling that made people care in the first place. Secure the concrete piece while support is available. Confirm the space, cost, schedule, and person responsible for the next step. The vision does not become less meaningful because somebody booked the room and checked the invoice.</x:v>
      </x:c>
      <x:c r="L202" s="56" t="str">
        <x:v>Completed generic pair-aspect fallback. Use only when sign/date context is unavailable.</x:v>
      </x:c>
      <x:c r="M202" s="56" t="str">
        <x:v>REVIEW READY</x:v>
      </x:c>
      <x:c r="N202" s="54" t="str">
        <x:v>packages/astro-knowledge/data/transits/venus-sextile-neptune.json</x:v>
      </x:c>
      <x:c r="O202" s="71" t="str">
        <x:v>f4abaf7e4117a8748ed4d44e805e455ce1b1e69cd524e4951badca7db560a60b</x:v>
      </x:c>
      <x:c r="P202" s="75" t="str">
        <x:v>INCLUDE</x:v>
      </x:c>
      <x:c r="Q202" s="79" t="str"/>
    </x:row>
    <x:row r="203" ht="92" customHeight="1">
      <x:c r="A203" s="54" t="n">
        <x:v>201</x:v>
      </x:c>
      <x:c r="B203" s="54" t="str">
        <x:v>sky.venus.conjunction.pluto</x:v>
      </x:c>
      <x:c r="C203" s="54" t="str">
        <x:v>Venus conjunction Pluto</x:v>
      </x:c>
      <x:c r="D203" s="54" t="str">
        <x:v>venus</x:v>
      </x:c>
      <x:c r="E203" s="54" t="str">
        <x:v>conjunction</x:v>
      </x:c>
      <x:c r="F203" s="54" t="str">
        <x:v>pluto</x:v>
      </x:c>
      <x:c r="G203" s="54" t="str">
        <x:v>A private agreement concentrates money, loyalty, and leverage in the same hands.</x:v>
      </x:c>
      <x:c r="H203" s="54" t="str">
        <x:v>A private agreement concentrates money, loyalty, and leverage in the same hands. A merger, inheritance, settlement, intimate commitment, or exclusive contract deepens the bond while making exit more expensive. Venus gives the arrangement value and desire, while Pluto adds control, risk, and consequences that are difficult to ignore. Under the conjunction, attachment and power become part of the same exchange. The agreement may create extraordinary commitment while exposing how quickly closeness changes when one person controls what the other cannot easily replace.</x:v>
      </x:c>
      <x:c r="I203" s="54" t="str">
        <x:v>owner-refined Sky aspect v10.1 corpus; owner direction, chat 2026-08-01</x:v>
      </x:c>
      <x:c r="J203" s="56" t="str">
        <x:v>A private agreement can concentrate money, loyalty, and leverage in the same hands.</x:v>
      </x:c>
      <x:c r="K203" s="56" t="str">
        <x:v>A private agreement can concentrate money, loyalty, and leverage in the same hands. Venus conjunct Pluto can make a merger, inheritance, settlement, exclusive contract, or intimate commitment feel deeper at the exact moment leaving it becomes more expensive. The cost of exit is part of the agreement, especially when one person controls something the other cannot easily replace. Put ownership, access, debt, and decision rights on the table before treating the bond as proof that the terms are fair. Closeness should not make the leverage invisible.</x:v>
      </x:c>
      <x:c r="L203" s="56" t="str">
        <x:v>Completed generic pair-aspect fallback. Use only when sign/date context is unavailable.</x:v>
      </x:c>
      <x:c r="M203" s="56" t="str">
        <x:v>REVIEW READY</x:v>
      </x:c>
      <x:c r="N203" s="54" t="str">
        <x:v>packages/astro-knowledge/data/transits/venus-conjunction-pluto.json</x:v>
      </x:c>
      <x:c r="O203" s="71" t="str">
        <x:v>8869398c87e8545dd44f31d2752a875284703a1a32f38ba475a6e021be174bee</x:v>
      </x:c>
      <x:c r="P203" s="75" t="str">
        <x:v>INCLUDE</x:v>
      </x:c>
      <x:c r="Q203" s="79" t="str"/>
    </x:row>
    <x:row r="204" ht="92" customHeight="1">
      <x:c r="A204" s="54" t="n">
        <x:v>202</x:v>
      </x:c>
      <x:c r="B204" s="54" t="str">
        <x:v>sky.venus.opposition.pluto</x:v>
      </x:c>
      <x:c r="C204" s="54" t="str">
        <x:v>Venus opposition Pluto</x:v>
      </x:c>
      <x:c r="D204" s="54" t="str">
        <x:v>venus</x:v>
      </x:c>
      <x:c r="E204" s="54" t="str">
        <x:v>opposition</x:v>
      </x:c>
      <x:c r="F204" s="54" t="str">
        <x:v>pluto</x:v>
      </x:c>
      <x:c r="G204" s="54" t="str">
        <x:v>The person asking for fair terms faces the person who controls the money, access, or future opportunity.</x:v>
      </x:c>
      <x:c r="H204" s="54" t="str">
        <x:v>The person asking for fair terms faces the person who controls the money, access, or future opportunity. One side points to contribution, relationship, and the value created; the other points to ownership and the consequences of refusing the offer. Venus gives the desire for mutual exchange a voice, while Pluto reveals the leverage determining whether the request can matter. The opposition places fairness directly across from concentrated power. The deal may close, but everyone sees whether consent meant anything once one side could afford to walk away and the other could not.</x:v>
      </x:c>
      <x:c r="I204" s="54" t="str">
        <x:v>owner-refined Sky aspect v10.1 corpus; owner direction, chat 2026-08-01</x:v>
      </x:c>
      <x:c r="J204" s="56" t="str">
        <x:v>The person asking for fair terms may be negotiating with someone who controls the money, access, or future opportunity attached to the deal.</x:v>
      </x:c>
      <x:c r="K204" s="56" t="str">
        <x:v>The person asking for fair terms may be negotiating with someone who controls the money, access, or future opportunity attached to the deal. Venus opposite Pluto can make a request for recognition or mutual exchange run directly into the leverage that determines how much saying no would cost each side. That imbalance should be named, not hidden behind good manners. Ask who can walk away without losing income, access, credit, or the relationship itself. Fair terms mean more when both sides can refuse them without being punished for it.</x:v>
      </x:c>
      <x:c r="L204" s="56" t="str">
        <x:v>Completed generic pair-aspect fallback. Use only when sign/date context is unavailable.</x:v>
      </x:c>
      <x:c r="M204" s="56" t="str">
        <x:v>REVIEW READY</x:v>
      </x:c>
      <x:c r="N204" s="54" t="str">
        <x:v>packages/astro-knowledge/data/transits/venus-opposition-pluto.json</x:v>
      </x:c>
      <x:c r="O204" s="71" t="str">
        <x:v>8f15af521360654b657248aa9ea52af6ea59bf4adb4b22c6cf739b003b9d034a</x:v>
      </x:c>
      <x:c r="P204" s="75" t="str">
        <x:v>INCLUDE</x:v>
      </x:c>
      <x:c r="Q204" s="79" t="str"/>
    </x:row>
    <x:row r="205" ht="92" customHeight="1">
      <x:c r="A205" s="54" t="n">
        <x:v>203</x:v>
      </x:c>
      <x:c r="B205" s="54" t="str">
        <x:v>sky.venus.square.pluto</x:v>
      </x:c>
      <x:c r="C205" s="54" t="str">
        <x:v>Venus square Pluto</x:v>
      </x:c>
      <x:c r="D205" s="54" t="str">
        <x:v>venus</x:v>
      </x:c>
      <x:c r="E205" s="54" t="str">
        <x:v>square</x:v>
      </x:c>
      <x:c r="F205" s="54" t="str">
        <x:v>pluto</x:v>
      </x:c>
      <x:c r="G205" s="54" t="str">
        <x:v>A dispute over money or loyalty becomes a struggle over who can make the other person lose more.</x:v>
      </x:c>
      <x:c r="H205" s="54" t="str">
        <x:v>A dispute over money or loyalty becomes a struggle over who can make the other person lose more. Access is withheld, credit is threatened, or private information becomes leverage once ordinary negotiation stops producing the desired answer. Venus tries to preserve value and relationship, while Pluto turns the agreement into a test of control. The square keeps escalating the cost until affection, approval, or payment becomes another weapon. One side may win the immediate concession, but the relationship is permanently altered by what each person was willing to hold hostage.</x:v>
      </x:c>
      <x:c r="I205" s="54" t="str">
        <x:v>owner-refined Sky aspect v10.1 corpus; owner direction, chat 2026-08-01</x:v>
      </x:c>
      <x:c r="J205" s="56" t="str">
        <x:v>A dispute over money or loyalty can become a fight over who is able to make the other person lose more.</x:v>
      </x:c>
      <x:c r="K205" s="56" t="str">
        <x:v>A dispute over money or loyalty can become a fight over who is able to make the other person lose more. Venus square Pluto can push ordinary negotiation into withholding access, threatening credit, exposing private information, or using affection as leverage once someone stops getting the answer they want. That is no longer a disagreement about value. It is a control problem. Stop negotiating through the hostage. Separate the money, access, or private information from the argument and deal with the actual terms without making one person's vulnerability the price of staying at the table.</x:v>
      </x:c>
      <x:c r="L205" s="56" t="str">
        <x:v>Completed generic pair-aspect fallback. Use only when sign/date context is unavailable.</x:v>
      </x:c>
      <x:c r="M205" s="56" t="str">
        <x:v>REVIEW READY</x:v>
      </x:c>
      <x:c r="N205" s="54" t="str">
        <x:v>packages/astro-knowledge/data/transits/venus-square-pluto.json</x:v>
      </x:c>
      <x:c r="O205" s="71" t="str">
        <x:v>73225038fdc2dffb4a96b66ebbff57e296349e3e8a388d46689f4d3762afb129</x:v>
      </x:c>
      <x:c r="P205" s="75" t="str">
        <x:v>INCLUDE</x:v>
      </x:c>
      <x:c r="Q205" s="79" t="str"/>
    </x:row>
    <x:row r="206" ht="92" customHeight="1">
      <x:c r="A206" s="54" t="n">
        <x:v>204</x:v>
      </x:c>
      <x:c r="B206" s="54" t="str">
        <x:v>sky.venus.trine.pluto</x:v>
      </x:c>
      <x:c r="C206" s="54" t="str">
        <x:v>Venus trine Pluto</x:v>
      </x:c>
      <x:c r="D206" s="54" t="str">
        <x:v>venus</x:v>
      </x:c>
      <x:c r="E206" s="54" t="str">
        <x:v>trine</x:v>
      </x:c>
      <x:c r="F206" s="54" t="str">
        <x:v>pluto</x:v>
      </x:c>
      <x:c r="G206" s="54" t="str">
        <x:v>Shared money, credit, or authority is redistributed in a way that changes the relationship for the better.</x:v>
      </x:c>
      <x:c r="H206" s="54" t="str">
        <x:v>Shared money, credit, or authority is redistributed in a way that changes the relationship for the better. Contracts are revised, access is widened, or a private arrangement becomes transparent enough for each person to understand their real stake. Venus protects mutual value, while Pluto brings the deeper leverage and consequences into view. Under the trine, fairness reaches the structure of the agreement instead of stopping at a pleasant statement. Trust grows because the change can be seen in who controls the money and who has the power to leave.</x:v>
      </x:c>
      <x:c r="I206" s="54" t="str">
        <x:v>owner-refined Sky aspect v10.1 corpus; owner direction, chat 2026-08-01</x:v>
      </x:c>
      <x:c r="J206" s="56" t="str">
        <x:v>Shared money, credit, or authority may be redistributed in a way that actually improves the relationship.</x:v>
      </x:c>
      <x:c r="K206" s="56" t="str">
        <x:v>Shared money, credit, or authority may be redistributed in a way that actually improves the relationship. Venus trine Pluto can help a contract, inheritance, business arrangement, or private agreement become more transparent about who owns what, who can decide, and how either side can leave. Fairness is stronger when it reaches the structure instead of stopping at a reassuring conversation. Make the change visible in the account, contract, access, or signature rights. Trust grows faster when nobody has to guess how much leverage the other person still holds.</x:v>
      </x:c>
      <x:c r="L206" s="56" t="str">
        <x:v>Completed generic pair-aspect fallback. Use only when sign/date context is unavailable.</x:v>
      </x:c>
      <x:c r="M206" s="56" t="str">
        <x:v>REVIEW READY</x:v>
      </x:c>
      <x:c r="N206" s="54" t="str">
        <x:v>packages/astro-knowledge/data/transits/venus-trine-pluto.json</x:v>
      </x:c>
      <x:c r="O206" s="71" t="str">
        <x:v>1e23040fd7ff5fc4acecec3f9a1cab4213abc40f35ef8567347c1047a723cce2</x:v>
      </x:c>
      <x:c r="P206" s="75" t="str">
        <x:v>INCLUDE</x:v>
      </x:c>
      <x:c r="Q206" s="79" t="str"/>
    </x:row>
    <x:row r="207" ht="92" customHeight="1">
      <x:c r="A207" s="54" t="n">
        <x:v>205</x:v>
      </x:c>
      <x:c r="B207" s="54" t="str">
        <x:v>sky.venus.sextile.pluto</x:v>
      </x:c>
      <x:c r="C207" s="54" t="str">
        <x:v>Venus sextile Pluto</x:v>
      </x:c>
      <x:c r="D207" s="54" t="str">
        <x:v>venus</x:v>
      </x:c>
      <x:c r="E207" s="54" t="str">
        <x:v>sextile</x:v>
      </x:c>
      <x:c r="F207" s="54" t="str">
        <x:v>pluto</x:v>
      </x:c>
      <x:c r="G207" s="54" t="str">
        <x:v>A difficult negotiation reaches the person who can actually change the money, access, or terms.</x:v>
      </x:c>
      <x:c r="H207" s="54" t="str">
        <x:v>A difficult negotiation reaches the person who can actually change the money, access, or terms. One disclosure about ownership, hidden fees, unequal credit, or private leverage gives the people negotiating a chance to correct the agreement before it becomes final. Venus holds the question of value and fairness, while Pluto exposes who has been controlling the exchange from behind the visible deal. The sextile opens a route toward better terms, but someone still has to confront the source of power. The agreement becomes more honest because the cost of saying no is no longer being hidden.</x:v>
      </x:c>
      <x:c r="I207" s="54" t="str">
        <x:v>owner-refined Sky aspect v10.1 corpus; owner direction, chat 2026-08-01</x:v>
      </x:c>
      <x:c r="J207" s="56" t="str">
        <x:v>A difficult negotiation may finally reach the person who can change the money, access, or terms instead of another person who can only apologize for them.</x:v>
      </x:c>
      <x:c r="K207" s="56" t="str">
        <x:v>A difficult negotiation may finally reach the person who can change the money, access, or terms instead of another person who can only apologize for them. Venus sextile Pluto can create a narrow opening to surface hidden fees, unequal credit, ownership, or private leverage before the agreement becomes final. Use that opening while the terms can still move. Ask the person with actual authority to answer the specific problem. A better deal becomes possible once the cost of saying no is no longer being kept off the page.</x:v>
      </x:c>
      <x:c r="L207" s="56" t="str">
        <x:v>Completed generic pair-aspect fallback. Use only when sign/date context is unavailable.</x:v>
      </x:c>
      <x:c r="M207" s="56" t="str">
        <x:v>REVIEW READY</x:v>
      </x:c>
      <x:c r="N207" s="54" t="str">
        <x:v>packages/astro-knowledge/data/transits/venus-sextile-pluto.json</x:v>
      </x:c>
      <x:c r="O207" s="71" t="str">
        <x:v>31a2ac0325046015570e5c948e4818c282810570fac75dfc4170bd3b04f20694</x:v>
      </x:c>
      <x:c r="P207" s="75" t="str">
        <x:v>INCLUDE</x:v>
      </x:c>
      <x:c r="Q207" s="79" t="str"/>
    </x:row>
    <x:row r="208" ht="92" customHeight="1">
      <x:c r="A208" s="54" t="n">
        <x:v>206</x:v>
      </x:c>
      <x:c r="B208" s="54" t="str">
        <x:v>sky.venus.conjunction.saturn</x:v>
      </x:c>
      <x:c r="C208" s="54" t="str">
        <x:v>Venus conjunction Saturn</x:v>
      </x:c>
      <x:c r="D208" s="54" t="str">
        <x:v>venus</x:v>
      </x:c>
      <x:c r="E208" s="54" t="str">
        <x:v>conjunction</x:v>
      </x:c>
      <x:c r="F208" s="54" t="str">
        <x:v>saturn</x:v>
      </x:c>
      <x:c r="G208" s="54" t="str">
        <x:v>A relationship or financial agreement becomes official at the same moment its obligations become real.</x:v>
      </x:c>
      <x:c r="H208" s="54" t="str">
        <x:v>A relationship or financial agreement becomes official at the same moment its obligations become real. A contract is signed, a long-term expense is accepted, or a promise of support is attached to dates, duties, and consequences. Venus gives the commitment value and meaning, while Saturn makes it binding and difficult to treat casually. Under the conjunction, affection, money, and responsibility arrive as one package. The agreement may create stability while revealing how much each person is actually willing to carry when appreciation requires sustained work.</x:v>
      </x:c>
      <x:c r="I208" s="54" t="str">
        <x:v>owner-refined Sky aspect v10.1 corpus; owner direction, chat 2026-08-01</x:v>
      </x:c>
      <x:c r="J208" s="56" t="str">
        <x:v>A relationship or financial agreement can become official at the same moment its obligations become concrete.</x:v>
      </x:c>
      <x:c r="K208" s="56" t="str">
        <x:v>A relationship or financial agreement can become official at the same moment its obligations become concrete. Venus conjunct Saturn can turn affection, money, and responsibility into dates, duties, recurring costs, and consequences that are harder to treat casually once the contract is signed. That can create stability. It can also reveal how much each person expected the other to carry without saying so. Read the obligation as closely as the promise. Put the money, time, and ongoing work into the agreement before commitment becomes the reason nobody feels allowed to renegotiate it.</x:v>
      </x:c>
      <x:c r="L208" s="56" t="str">
        <x:v>Completed generic pair-aspect fallback. Use only when sign/date context is unavailable.</x:v>
      </x:c>
      <x:c r="M208" s="56" t="str">
        <x:v>REVIEW READY</x:v>
      </x:c>
      <x:c r="N208" s="54" t="str">
        <x:v>packages/astro-knowledge/data/transits/venus-conjunction-saturn.json</x:v>
      </x:c>
      <x:c r="O208" s="71" t="str">
        <x:v>8b06af3ac32f8ff8ea62d6d83eda9c1e56498b87a516e77cc044fb3af1a05122</x:v>
      </x:c>
      <x:c r="P208" s="75" t="str">
        <x:v>INCLUDE</x:v>
      </x:c>
      <x:c r="Q208" s="79" t="str"/>
    </x:row>
    <x:row r="209" ht="92" customHeight="1">
      <x:c r="A209" s="54" t="n">
        <x:v>207</x:v>
      </x:c>
      <x:c r="B209" s="54" t="str">
        <x:v>sky.venus.opposition.saturn</x:v>
      </x:c>
      <x:c r="C209" s="54" t="str">
        <x:v>Venus opposition Saturn</x:v>
      </x:c>
      <x:c r="D209" s="54" t="str">
        <x:v>venus</x:v>
      </x:c>
      <x:c r="E209" s="54" t="str">
        <x:v>opposition</x:v>
      </x:c>
      <x:c r="F209" s="54" t="str">
        <x:v>saturn</x:v>
      </x:c>
      <x:c r="G209" s="54" t="str">
        <x:v>A human request for funding, flexibility, or recognition faces an institution determined to hold the line.</x:v>
      </x:c>
      <x:c r="H209" s="54" t="str">
        <x:v>A human request for funding, flexibility, or recognition faces an institution determined to hold the line. One side points to the work, relationship, and personal cost; the other points to policy, budget, and obligations that leave no room for an exception. Venus protects the person and value behind the request, while Saturn puts authority behind the deadline and refusal. The opposition forces the request for care to face a structural limit with more authority than compassion. The outcome may comply with every rule while leaving the person who carried the burden shut out of the money, credit, or flexibility they asked for.</x:v>
      </x:c>
      <x:c r="I209" s="54" t="str">
        <x:v>owner-refined Sky aspect v10.1 corpus; owner direction, chat 2026-08-01</x:v>
      </x:c>
      <x:c r="J209" s="56" t="str">
        <x:v>A human request for funding, flexibility, or recognition may run into an institution determined to hold the line.</x:v>
      </x:c>
      <x:c r="K209" s="56" t="str">
        <x:v>A human request for funding, flexibility, or recognition may run into an institution determined to hold the line. Venus opposite Saturn can put the value of someone's work or relationship directly across from a budget, policy, or obligation with more authority than sympathy. The refusal may follow every rule and still leave the same person carrying the cost. Ask what the rule protects and who it leaves paying for the decision. If an exception is impossible, the institution should still be able to explain what support, credit, or alternative is actually available.</x:v>
      </x:c>
      <x:c r="L209" s="56" t="str">
        <x:v>Completed generic pair-aspect fallback. Use only when sign/date context is unavailable.</x:v>
      </x:c>
      <x:c r="M209" s="56" t="str">
        <x:v>REVIEW READY</x:v>
      </x:c>
      <x:c r="N209" s="54" t="str">
        <x:v>packages/astro-knowledge/data/transits/venus-opposition-saturn.json</x:v>
      </x:c>
      <x:c r="O209" s="71" t="str">
        <x:v>08f08c893299a581b0e37a4efa060e88c44b6d2e84178b46d8d82e2233150d5a</x:v>
      </x:c>
      <x:c r="P209" s="75" t="str">
        <x:v>INCLUDE</x:v>
      </x:c>
      <x:c r="Q209" s="79" t="str"/>
    </x:row>
    <x:row r="210" ht="92" customHeight="1">
      <x:c r="A210" s="54" t="n">
        <x:v>208</x:v>
      </x:c>
      <x:c r="B210" s="54" t="str">
        <x:v>sky.venus.square.saturn</x:v>
      </x:c>
      <x:c r="C210" s="54" t="str">
        <x:v>Venus square Saturn</x:v>
      </x:c>
      <x:c r="D210" s="54" t="str">
        <x:v>venus</x:v>
      </x:c>
      <x:c r="E210" s="54" t="str">
        <x:v>square</x:v>
      </x:c>
      <x:c r="F210" s="54" t="str">
        <x:v>saturn</x:v>
      </x:c>
      <x:c r="G210" s="54" t="str">
        <x:v>The work receives praise, but the request for money, time, or formal recognition is denied.</x:v>
      </x:c>
      <x:c r="H210" s="54" t="str">
        <x:v>The work receives praise, but the request for money, time, or formal recognition is denied. Leadership calls the contribution valuable while pointing to a frozen budget, strict policy, or commitment that cannot be changed. Venus measures appreciation through what is offered in return, while Saturn enforces the limit the institution wants everyone to accept. The square makes the compliment feel thinner each time it is used in place of material support. The rule may protect the budget, but the person carrying the work learns exactly how little the praise can purchase.</x:v>
      </x:c>
      <x:c r="I210" s="54" t="str">
        <x:v>owner-refined Sky aspect v10.1 corpus; owner direction, chat 2026-08-01</x:v>
      </x:c>
      <x:c r="J210" s="56" t="str">
        <x:v>The work receives praise, but the request for money, time, or formal recognition is denied.</x:v>
      </x:c>
      <x:c r="K210" s="56" t="str">
        <x:v>The work receives praise, but the request for money, time, or formal recognition is denied. Venus square Saturn can make every compliment feel thinner when appreciation keeps arriving in place of material support. A frozen budget or strict policy may be true. So is the cost of asking someone to keep doing valuable work without anything changing for them. Put the request next to the response. If the answer is still no, stop using praise to make the same terms sound generous and decide what work can realistically continue under them.</x:v>
      </x:c>
      <x:c r="L210" s="56" t="str">
        <x:v>Completed generic pair-aspect fallback. Use only when sign/date context is unavailable.</x:v>
      </x:c>
      <x:c r="M210" s="56" t="str">
        <x:v>REVIEW READY</x:v>
      </x:c>
      <x:c r="N210" s="54" t="str">
        <x:v>packages/astro-knowledge/data/transits/venus-square-saturn.json</x:v>
      </x:c>
      <x:c r="O210" s="71" t="str">
        <x:v>6d0aa6c35a07dad910ec4dc6ed28565f1897af5550ee048ba22d14d4c2d9eb24</x:v>
      </x:c>
      <x:c r="P210" s="75" t="str">
        <x:v>INCLUDE</x:v>
      </x:c>
      <x:c r="Q210" s="79" t="str"/>
    </x:row>
    <x:row r="211" ht="92" customHeight="1">
      <x:c r="A211" s="54" t="n">
        <x:v>209</x:v>
      </x:c>
      <x:c r="B211" s="54" t="str">
        <x:v>sky.venus.trine.saturn</x:v>
      </x:c>
      <x:c r="C211" s="54" t="str">
        <x:v>Venus trine Saturn</x:v>
      </x:c>
      <x:c r="D211" s="54" t="str">
        <x:v>venus</x:v>
      </x:c>
      <x:c r="E211" s="54" t="str">
        <x:v>trine</x:v>
      </x:c>
      <x:c r="F211" s="54" t="str">
        <x:v>saturn</x:v>
      </x:c>
      <x:c r="G211" s="54" t="str">
        <x:v>Capital finally unlocks for a plan that has been sitting on hold.</x:v>
      </x:c>
      <x:c r="H211" s="54" t="str">
        <x:v>Capital finally unlocks for a plan that has been sitting on hold. The budget gets approved, schedules line up, or reservations are confirmed once the full cost is on paper. Venus keeps the result desirable and worth protecting, while Saturn checks the price, deadline, responsibility, and work required to maintain it. Under the trine, value and commitment support each other without making pleasure feel irresponsible. The agreement can last because the cost was named before anyone moved forward.</x:v>
      </x:c>
      <x:c r="I211" s="54" t="str">
        <x:v>owner-refined Sky aspect v10.1 corpus; owner direction, chat 2026-08-01</x:v>
      </x:c>
      <x:c r="J211" s="56" t="str">
        <x:v>A plan that has been waiting on money or logistics may finally become possible once the full cost is on paper.</x:v>
      </x:c>
      <x:c r="K211" s="56" t="str">
        <x:v>A plan that has been waiting on money or logistics may finally become possible once the full cost is on paper. Venus trine Saturn can help value and commitment support each other, so the budget, schedule, deposit, and long-term responsibility make the agreement more secure instead of less appealing. This is the useful kind of restraint. Confirm the numbers before celebrating the approval, then fund the part that keeps the plan working after the first good day. What is worth building should be able to survive its ordinary costs.</x:v>
      </x:c>
      <x:c r="L211" s="56" t="str">
        <x:v>Completed generic pair-aspect fallback. Use only when sign/date context is unavailable.</x:v>
      </x:c>
      <x:c r="M211" s="56" t="str">
        <x:v>REVIEW READY</x:v>
      </x:c>
      <x:c r="N211" s="54" t="str">
        <x:v>packages/astro-knowledge/data/transits/venus-trine-saturn.json</x:v>
      </x:c>
      <x:c r="O211" s="71" t="str">
        <x:v>d28b4c379959bf9b4e39235bb81967aa5c978c3a10ee06260bc87e453f11ed57</x:v>
      </x:c>
      <x:c r="P211" s="75" t="str">
        <x:v>INCLUDE</x:v>
      </x:c>
      <x:c r="Q211" s="79" t="str"/>
    </x:row>
    <x:row r="212" ht="92" customHeight="1">
      <x:c r="A212" s="54" t="n">
        <x:v>210</x:v>
      </x:c>
      <x:c r="B212" s="54" t="str">
        <x:v>sky.venus.sextile.saturn</x:v>
      </x:c>
      <x:c r="C212" s="54" t="str">
        <x:v>Venus sextile Saturn</x:v>
      </x:c>
      <x:c r="D212" s="54" t="str">
        <x:v>venus</x:v>
      </x:c>
      <x:c r="E212" s="54" t="str">
        <x:v>sextile</x:v>
      </x:c>
      <x:c r="F212" s="54" t="str">
        <x:v>saturn</x:v>
      </x:c>
      <x:c r="G212" s="54" t="str">
        <x:v>A plan on hold receives a conditional approval that makes the next step possible.</x:v>
      </x:c>
      <x:c r="H212" s="54" t="str">
        <x:v>A plan on hold receives a conditional approval that makes the next step possible. Someone revises the budget, secures the deposit, or adjusts the schedule enough to meet the requirement without abandoning the original value. Venus keeps attention on what the agreement is worth, while Saturn defines the cost, work, and commitment required to support it. The sextile opens a path through the restriction, but someone still has to accept the terms and follow through. The plan moves because desire is matched by a commitment the numbers can carry.</x:v>
      </x:c>
      <x:c r="I212" s="54" t="str">
        <x:v>owner-refined Sky aspect v10.1 corpus; owner direction, chat 2026-08-01</x:v>
      </x:c>
      <x:c r="J212" s="56" t="str">
        <x:v>A plan on hold may receive a conditional approval that makes one next step possible.</x:v>
      </x:c>
      <x:c r="K212" s="56" t="str">
        <x:v>A plan on hold may receive a conditional approval that makes one next step possible. Venus sextile Saturn can open a route through a budget, deposit, schedule, or policy problem without requiring the original goal to be abandoned. The condition matters as much as the yes. Read it. Adjust the numbers or timing, confirm who is responsible for meeting it, and get the next approval in writing. A workable compromise is one the people involved can actually maintain after the relief of finally moving forward wears off.</x:v>
      </x:c>
      <x:c r="L212" s="56" t="str">
        <x:v>Completed generic pair-aspect fallback. Use only when sign/date context is unavailable.</x:v>
      </x:c>
      <x:c r="M212" s="56" t="str">
        <x:v>REVIEW READY</x:v>
      </x:c>
      <x:c r="N212" s="54" t="str">
        <x:v>packages/astro-knowledge/data/transits/venus-sextile-saturn.json</x:v>
      </x:c>
      <x:c r="O212" s="71" t="str">
        <x:v>675302807ceba884861fe78a9d7a925420465b18366b8baff7ba615c4c6f4215</x:v>
      </x:c>
      <x:c r="P212" s="75" t="str">
        <x:v>INCLUDE</x:v>
      </x:c>
      <x:c r="Q212" s="79" t="str"/>
    </x:row>
    <x:row r="213" ht="92" customHeight="1">
      <x:c r="A213" s="54" t="n">
        <x:v>211</x:v>
      </x:c>
      <x:c r="B213" s="54" t="str">
        <x:v>sky.venus.conjunction.uranus</x:v>
      </x:c>
      <x:c r="C213" s="54" t="str">
        <x:v>Venus conjunction Uranus</x:v>
      </x:c>
      <x:c r="D213" s="54" t="str">
        <x:v>venus</x:v>
      </x:c>
      <x:c r="E213" s="54" t="str">
        <x:v>conjunction</x:v>
      </x:c>
      <x:c r="F213" s="54" t="str">
        <x:v>uranus</x:v>
      </x:c>
      <x:c r="G213" s="54" t="str">
        <x:v>An unexpected proposal rewrites a familiar agreement before either side can fall back on the old rules.</x:v>
      </x:c>
      <x:c r="H213" s="54" t="str">
        <x:v>An unexpected proposal rewrites a familiar agreement before either side can fall back on the old rules. A friendship, price, invitation, creative partnership, or private arrangement is given new terms in one direct conversation. Venus protects the value and mutual regard inside the exchange, while Uranus refuses to preserve an agreement that no longer leaves enough room. Under the conjunction, the offer and the break from convention arrive together. The new terms may feel honest and freeing while making the loss of the familiar version impossible to ignore.</x:v>
      </x:c>
      <x:c r="I213" s="54" t="str">
        <x:v>owner-refined Sky aspect v10.1 corpus; owner direction, chat 2026-08-01</x:v>
      </x:c>
      <x:c r="J213" s="56" t="str">
        <x:v>An unexpected proposal can rewrite a familiar agreement before either side has time to fall back on the old rules.</x:v>
      </x:c>
      <x:c r="K213" s="56" t="str">
        <x:v>An unexpected proposal can rewrite a familiar agreement before either side has time to fall back on the old rules. Venus conjunct Uranus can bring a new price, relationship term, invitation, or creative partnership that feels both freeing and unsettling because the value is still there while the format changes quickly. Do not confuse surprise with incompatibility. Name what the old arrangement stopped making room for and what the new one is asking each person to accept. The change has a better chance when freedom is written into the agreement instead of being taken outside it.</x:v>
      </x:c>
      <x:c r="L213" s="56" t="str">
        <x:v>Completed generic pair-aspect fallback. Use only when sign/date context is unavailable.</x:v>
      </x:c>
      <x:c r="M213" s="56" t="str">
        <x:v>REVIEW READY</x:v>
      </x:c>
      <x:c r="N213" s="54" t="str">
        <x:v>packages/astro-knowledge/data/transits/venus-conjunction-uranus.json</x:v>
      </x:c>
      <x:c r="O213" s="71" t="str">
        <x:v>349c7f59b5935bf7657060c0dca05e8be8f2f32b7aa0b4b3d0895be61da0d411</x:v>
      </x:c>
      <x:c r="P213" s="75" t="str">
        <x:v>INCLUDE</x:v>
      </x:c>
      <x:c r="Q213" s="79" t="str"/>
    </x:row>
    <x:row r="214" ht="92" customHeight="1">
      <x:c r="A214" s="54" t="n">
        <x:v>212</x:v>
      </x:c>
      <x:c r="B214" s="54" t="str">
        <x:v>sky.venus.opposition.uranus</x:v>
      </x:c>
      <x:c r="C214" s="54" t="str">
        <x:v>Venus opposition Uranus</x:v>
      </x:c>
      <x:c r="D214" s="54" t="str">
        <x:v>venus</x:v>
      </x:c>
      <x:c r="E214" s="54" t="str">
        <x:v>opposition</x:v>
      </x:c>
      <x:c r="F214" s="54" t="str">
        <x:v>uranus</x:v>
      </x:c>
      <x:c r="G214" s="54" t="str">
        <x:v>One side wants to preserve the agreement while the other insists that staying requires a completely different arrangement.</x:v>
      </x:c>
      <x:c r="H214" s="54" t="str">
        <x:v>One side wants to preserve the agreement while the other insists that staying requires a completely different arrangement. The familiar price, role, invitation, or commitment is defended as fair; the person seeking change points to restrictions and needs the original deal no longer recognizes. Venus holds the value of continuity and mutual consideration, while Uranus gives the demand for independence equal force. The opposition places belonging and freedom across from each other without allowing either to be reduced to selfishness. A revised agreement may emerge, but the relationship cannot return to the version that depended on one person staying quiet.</x:v>
      </x:c>
      <x:c r="I214" s="54" t="str">
        <x:v>owner-refined Sky aspect v10.1 corpus; owner direction, chat 2026-08-01</x:v>
      </x:c>
      <x:c r="J214" s="56" t="str">
        <x:v>One side may want to preserve the agreement while the other believes staying requires different terms.</x:v>
      </x:c>
      <x:c r="K214" s="56" t="str">
        <x:v>One side may want to preserve the agreement while the other believes staying requires different terms. Venus opposite Uranus can make belonging and independence impossible to separate, especially when a familiar price, role, schedule, or relationship rule now feels restrictive to the person living under it. The old agreement does not become fair because it used to work. Put both versions on the table and decide what each side needs in order to stay by choice. If the relationship only survives when one person stays quiet, continuity is not the same thing as consent.</x:v>
      </x:c>
      <x:c r="L214" s="56" t="str">
        <x:v>Completed generic pair-aspect fallback. Use only when sign/date context is unavailable.</x:v>
      </x:c>
      <x:c r="M214" s="56" t="str">
        <x:v>REVIEW READY</x:v>
      </x:c>
      <x:c r="N214" s="54" t="str">
        <x:v>packages/astro-knowledge/data/transits/venus-opposition-uranus.json</x:v>
      </x:c>
      <x:c r="O214" s="71" t="str">
        <x:v>0a4a14333422871ca0ea6e9e339feffc03b711069245bd8386892b698af18bc8</x:v>
      </x:c>
      <x:c r="P214" s="75" t="str">
        <x:v>INCLUDE</x:v>
      </x:c>
      <x:c r="Q214" s="79" t="str"/>
    </x:row>
    <x:row r="215" ht="92" customHeight="1">
      <x:c r="A215" s="54" t="n">
        <x:v>213</x:v>
      </x:c>
      <x:c r="B215" s="54" t="str">
        <x:v>sky.venus.square.uranus</x:v>
      </x:c>
      <x:c r="C215" s="54" t="str">
        <x:v>Venus square Uranus</x:v>
      </x:c>
      <x:c r="D215" s="54" t="str">
        <x:v>venus</x:v>
      </x:c>
      <x:c r="E215" s="54" t="str">
        <x:v>square</x:v>
      </x:c>
      <x:c r="F215" s="54" t="str">
        <x:v>uranus</x:v>
      </x:c>
      <x:c r="G215" s="54" t="str">
        <x:v>A sudden change in price, availability, or commitment breaks an agreement people expected to rely on.</x:v>
      </x:c>
      <x:c r="H215" s="54" t="str">
        <x:v>A sudden change in price, availability, or commitment breaks an agreement people expected to rely on. One side calls the shift necessary or overdue, while the other is left with a canceled plan, higher cost, or relationship term they never accepted. Venus holds the expectation of fair exchange, while Uranus rejects the familiar arrangement without waiting for consensus. The square turns the surprise into a direct conflict over whether freedom includes responsibility for the disruption. The new terms may remain, but goodwill disappears when one person's independence becomes everyone else's emergency.</x:v>
      </x:c>
      <x:c r="I215" s="54" t="str">
        <x:v>owner-refined Sky aspect v10.1 corpus; owner direction, chat 2026-08-01</x:v>
      </x:c>
      <x:c r="J215" s="56" t="str">
        <x:v>A sudden change in price, availability, or commitment can break an agreement people expected to rely on.</x:v>
      </x:c>
      <x:c r="K215" s="56" t="str">
        <x:v>A sudden change in price, availability, or commitment can break an agreement people expected to rely on. Venus square Uranus can make one person's necessary change become everybody else's immediate problem when the new terms arrive without warning or room to respond. Freedom does not erase responsibility for the disruption. Give people notice, alternatives, or a transition when the change affects their money, schedule, housing, work, or relationship. The new terms may still stand. Goodwill is much easier to preserve when nobody is forced to discover them through the consequences.</x:v>
      </x:c>
      <x:c r="L215" s="56" t="str">
        <x:v>Completed generic pair-aspect fallback. Use only when sign/date context is unavailable.</x:v>
      </x:c>
      <x:c r="M215" s="56" t="str">
        <x:v>REVIEW READY</x:v>
      </x:c>
      <x:c r="N215" s="54" t="str">
        <x:v>packages/astro-knowledge/data/transits/venus-square-uranus.json</x:v>
      </x:c>
      <x:c r="O215" s="71" t="str">
        <x:v>368edc1ce92d67caf8138f7d32b47d05a8d50a0d937f3616f074ff35ca00be69</x:v>
      </x:c>
      <x:c r="P215" s="75" t="str">
        <x:v>INCLUDE</x:v>
      </x:c>
      <x:c r="Q215" s="79" t="str"/>
    </x:row>
    <x:row r="216" ht="92" customHeight="1">
      <x:c r="A216" s="54" t="n">
        <x:v>214</x:v>
      </x:c>
      <x:c r="B216" s="54" t="str">
        <x:v>sky.venus.trine.uranus</x:v>
      </x:c>
      <x:c r="C216" s="54" t="str">
        <x:v>Venus trine Uranus</x:v>
      </x:c>
      <x:c r="D216" s="54" t="str">
        <x:v>venus</x:v>
      </x:c>
      <x:c r="E216" s="54" t="str">
        <x:v>trine</x:v>
      </x:c>
      <x:c r="F216" s="54" t="str">
        <x:v>uranus</x:v>
      </x:c>
      <x:c r="G216" s="54" t="str">
        <x:v>An agreement that had become too rigid is revised before the people living with it walk away.</x:v>
      </x:c>
      <x:c r="H216" s="54" t="str">
        <x:v>An agreement that has become too rigid may need to change before people walk away from it. A payment plan stretches out. A deadline moves. A policy gets revised once the cost of the original terms becomes impossible to ignore. Venus keeps the conversation focused on fairness, while Uranus makes it easier to change the rule that caused the problem in the first place. The trine helps the terms change without putting the larger agreement at risk. Name what is not working, change the terms, and give everyone affected a real chance to respond. Relief comes when nobody has to keep pretending the old arrangement was fine.</x:v>
      </x:c>
      <x:c r="I216" s="54" t="str">
        <x:v>owner-authored hybrid final approved 2026-08-11; supersedes owner-refined Sky aspect v10.1; packages/astro-knowledge/review/sky-aspect-owner-refinements-2026-08-11/sky-aspect-owner-refinements-payloads.json#sky.venus.trine.uranus</x:v>
      </x:c>
      <x:c r="J216" s="56" t="str">
        <x:v>An agreement that has become too rigid may be easier to revise before the people living with it decide to leave.</x:v>
      </x:c>
      <x:c r="K216" s="56" t="str">
        <x:v>An agreement that has become too rigid may be easier to revise before the people living with it decide to leave. Venus trine Uranus can help a payment plan stretch, a deadline move, or a relationship rule change without turning the adjustment into proof that the whole agreement failed. The goal is not change for its own sake. It is making enough room for the arrangement to keep working. Name the term causing the problem and rewrite that term. A flexible agreement is stronger when people can adapt it before surprise becomes the only route to relief.</x:v>
      </x:c>
      <x:c r="L216" s="56" t="str">
        <x:v>Completed generic pair-aspect fallback. Use only when sign/date context is unavailable.</x:v>
      </x:c>
      <x:c r="M216" s="56" t="str">
        <x:v>REVIEW READY</x:v>
      </x:c>
      <x:c r="N216" s="54" t="str">
        <x:v>packages/astro-knowledge/data/transits/venus-trine-uranus.json</x:v>
      </x:c>
      <x:c r="O216" s="71" t="str">
        <x:v>f41fb6fb275e7501bc4446404478a37df0f3c18bfb8264e696252d572504e6db</x:v>
      </x:c>
      <x:c r="P216" s="75" t="str">
        <x:v>INCLUDE</x:v>
      </x:c>
      <x:c r="Q216" s="79" t="str"/>
    </x:row>
    <x:row r="217" ht="92" customHeight="1">
      <x:c r="A217" s="54" t="n">
        <x:v>215</x:v>
      </x:c>
      <x:c r="B217" s="54" t="str">
        <x:v>sky.venus.sextile.uranus</x:v>
      </x:c>
      <x:c r="C217" s="54" t="str">
        <x:v>Venus sextile Uranus</x:v>
      </x:c>
      <x:c r="D217" s="54" t="str">
        <x:v>venus</x:v>
      </x:c>
      <x:c r="E217" s="54" t="str">
        <x:v>sextile</x:v>
      </x:c>
      <x:c r="F217" s="54" t="str">
        <x:v>uranus</x:v>
      </x:c>
      <x:c r="G217" s="54" t="str">
        <x:v>One proposed change gives a strained agreement more room without forcing either side to walk away.</x:v>
      </x:c>
      <x:c r="H217" s="54" t="str">
        <x:v>One proposed change gives a strained agreement more room without forcing either side to walk away. A payment date moves, a guest list opens, or a relationship rule is revised after someone names the part that no longer works. Venus protects mutual value and consideration, while Uranus challenges the term that made participation too restrictive. The sextile creates an opening for different terms, but someone still has to risk proposing them. The arrangement survives because the change is negotiated before surprise becomes the only route toward freedom.</x:v>
      </x:c>
      <x:c r="I217" s="54" t="str">
        <x:v>owner-refined Sky aspect v10.1 corpus; owner direction, chat 2026-08-01</x:v>
      </x:c>
      <x:c r="J217" s="56" t="str">
        <x:v>One proposed change may give a strained agreement enough room to keep going.</x:v>
      </x:c>
      <x:c r="K217" s="56" t="str">
        <x:v>One proposed change may give a strained agreement enough room to keep going. Venus sextile Uranus can make a moved payment date, revised guest list, different schedule, or updated relationship rule easier to propose once someone names the exact part that no longer works. The opening is small, which is useful. Change one term and see what it fixes before renegotiating everything else. The arrangement has a better chance when people can ask for more room directly instead of waiting until the only available move is to walk away.</x:v>
      </x:c>
      <x:c r="L217" s="56" t="str">
        <x:v>Completed generic pair-aspect fallback. Use only when sign/date context is unavailable.</x:v>
      </x:c>
      <x:c r="M217" s="56" t="str">
        <x:v>REVIEW READY</x:v>
      </x:c>
      <x:c r="N217" s="54" t="str">
        <x:v>packages/astro-knowledge/data/transits/venus-sextile-uranus.json</x:v>
      </x:c>
      <x:c r="O217" s="71" t="str">
        <x:v>8dca9c4bfa436913aaa625e37561e46f5d885ad9625f6eeb76a9c8b60e8e4dd0</x:v>
      </x:c>
      <x:c r="P217" s="75" t="str">
        <x:v>INCLUDE</x:v>
      </x:c>
      <x:c r="Q217" s="79" t="str"/>
    </x:row>
  </x:sheetData>
  <x:mergeCells>
    <x:mergeCell ref="A1:N1"/>
  </x:mergeCells>
  <x:conditionalFormatting sqref="P3:P217">
    <x:cfRule type="containsText" dxfId="0" priority="1" operator="containsText" text="REVISE"/>
    <x:cfRule type="containsText" dxfId="1" priority="2" operator="containsText" text="REJECT"/>
  </x:conditionalFormatting>
  <x:dataValidations count="2">
    <x:dataValidation type="list" sqref="M3:M217">
      <x:formula1>"PENDING OWNER,IN PROGRESS,REWRITTEN,KEEP CURRENT,APPROVED"</x:formula1>
    </x:dataValidation>
    <x:dataValidation type="list" sqref="P3:P217">
      <x:formula1>"INCLUDE,REVISE,REJECT"</x:formula1>
    </x:dataValidation>
  </x:dataValidations>
  <x:pageMargins left="0.7" right="0.7" top="0.75" bottom="0.75" header="0.3" footer="0.3"/>
  <x:tableParts count="1">
    <x:tablePart xmlns:r="http://schemas.openxmlformats.org/officeDocument/2006/relationships" r:id="R494969db04a14b0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45" hidden="0" customWidth="1"/>
    <x:col min="4" max="4" width="45" hidden="0" customWidth="1"/>
    <x:col min="5" max="5" width="45" hidden="0" customWidth="1"/>
    <x:col min="6" max="6" width="45" hidden="0" customWidth="1"/>
    <x:col min="7" max="7" width="45" hidden="0" customWidth="1"/>
    <x:col min="8" max="8" width="45" hidden="0" customWidth="1"/>
    <x:col min="9" max="9" width="45" hidden="0" customWidth="1"/>
    <x:col min="10" max="10" width="45" hidden="0" customWidth="1"/>
    <x:col min="11" max="11" width="45" hidden="0" customWidth="1"/>
    <x:col min="12" max="12" width="45" hidden="0" customWidth="1"/>
    <x:col min="13" max="13" width="45" hidden="0" customWidth="1"/>
    <x:col min="14" max="14" width="66" hidden="0" customWidth="1"/>
    <x:col min="15" max="15" width="48" hidden="0" customWidth="1"/>
  </x:cols>
  <x:sheetData>
    <x:row r="1" ht="34" customHeight="1">
      <x:c r="A1" s="3" t="str">
        <x:v>Source Doctrine and Provenance</x:v>
      </x:c>
    </x:row>
    <x:row r="2" ht="32" customHeight="1">
      <x:c r="A2" s="24" t="str">
        <x:v>#</x:v>
      </x:c>
      <x:c r="B2" s="25" t="str">
        <x:v>Content Key</x:v>
      </x:c>
      <x:c r="C2" s="25" t="str">
        <x:v>Traditional</x:v>
      </x:c>
      <x:c r="D2" s="25" t="str">
        <x:v>Modern</x:v>
      </x:c>
      <x:c r="E2" s="25" t="str">
        <x:v>Cyclic Phase</x:v>
      </x:c>
      <x:c r="F2" s="25" t="str">
        <x:v>Cyclic Waxing</x:v>
      </x:c>
      <x:c r="G2" s="25" t="str">
        <x:v>Cyclic Waning</x:v>
      </x:c>
      <x:c r="H2" s="25" t="str">
        <x:v>Business</x:v>
      </x:c>
      <x:c r="I2" s="25" t="str">
        <x:v>Shadow</x:v>
      </x:c>
      <x:c r="J2" s="25" t="str">
        <x:v>Applying</x:v>
      </x:c>
      <x:c r="K2" s="25" t="str">
        <x:v>Separating</x:v>
      </x:c>
      <x:c r="L2" s="25" t="str">
        <x:v>Base</x:v>
      </x:c>
      <x:c r="M2" s="25" t="str">
        <x:v>Provenance</x:v>
      </x:c>
      <x:c r="N2" s="25" t="str">
        <x:v>Source SHA-256</x:v>
      </x:c>
      <x:c r="O2" s="26" t="str">
        <x:v>Source File</x:v>
      </x:c>
    </x:row>
    <x:row r="3" ht="90" customHeight="1">
      <x:c r="A3" s="53" t="n">
        <x:v>1</x:v>
      </x:c>
      <x:c r="B3" s="53" t="str">
        <x:v>sky.jupiter.conjunction.neptune</x:v>
      </x:c>
      <x:c r="C3" s="53" t="str">
        <x:v>No classical doctrine: Neptune is a modern planet unknown to traditional astrology. Read from the modern and cyclic layers; treat this contact as a slow, generational background tone.</x:v>
      </x:c>
      <x:c r="D3" s="53" t="str">
        <x:v>Expansion meets imagination. Idealism and vision on a large scale. Fused, these drives are difficult to separate and ask to be consciously integrated rather than acted out blindly.</x:v>
      </x:c>
      <x:c r="E3" s="53" t="str">
        <x:v>New (seed)</x:v>
      </x:c>
      <x:c r="F3" s="53" t="str"/>
      <x:c r="G3" s="53" t="str"/>
      <x:c r="H3" s="53" t="str">
        <x:v>Concentrated focus in this area. Inspired vision; test it against logic before committing.</x:v>
      </x:c>
      <x:c r="I3" s="53" t="str">
        <x:v>Excess and overreach fused with illusion and escapism, with no distance to tell them apart.</x:v>
      </x:c>
      <x:c r="J3" s="53" t="str">
        <x:v>The two fuse and intensify as they close in.</x:v>
      </x:c>
      <x:c r="K3" s="53" t="str">
        <x:v>The fused theme peaks and discharges.</x:v>
      </x:c>
      <x:c r="L3" s="53" t="str">
        <x:v>Expansion meets imagination. Idealism and vision on a large scale. Fused, these drives are difficult to separate and ask to be consciously integrated rather than acted out blindly.</x:v>
      </x:c>
      <x:c r="M3" s="53" t="str">
        <x:v>{
  "traditional": "classical and traditional sources",
  "modern": "modern aspect cookbook (psychological / popular register)",
  "cyclic": "humanistic / process-oriented source (cyclic model)"
}</x:v>
      </x:c>
      <x:c r="N3" s="53" t="str">
        <x:v>c30ee5b959cd4f54a62fb6f04199b9a7543c603cf0970cbbaf11a55af629e60f</x:v>
      </x:c>
      <x:c r="O3" s="53" t="str">
        <x:v>packages/astro-knowledge/data/transits/jupiter-conjunction-neptune.json</x:v>
      </x:c>
    </x:row>
    <x:row r="4" ht="90" customHeight="1">
      <x:c r="A4" s="54" t="n">
        <x:v>2</x:v>
      </x:c>
      <x:c r="B4" s="54" t="str">
        <x:v>sky.jupiter.opposition.neptune</x:v>
      </x:c>
      <x:c r="C4" s="54" t="str">
        <x:v>No classical doctrine: Neptune is a modern planet unknown to traditional astrology. Read from the modern and cyclic layers; treat this contact as a slow, generational background tone.</x:v>
      </x:c>
      <x:c r="D4" s="54" t="str">
        <x:v>Expansion meets imagination. Idealism and vision on a large scale. Psychologically the opposition is inner tension to integrate: Gullibility and wishful thinking mistaken for reality. The growth is owning both sides instead of splitting them.</x:v>
      </x:c>
      <x:c r="E4" s="54" t="str">
        <x:v>Full (culmination)</x:v>
      </x:c>
      <x:c r="F4" s="54" t="str"/>
      <x:c r="G4" s="54" t="str"/>
      <x:c r="H4" s="54" t="str">
        <x:v>Friction in this area. Inspired vision; test it against logic before committing.</x:v>
      </x:c>
      <x:c r="I4" s="54" t="str">
        <x:v>Excess and overreach collides with illusion and escapism; forcing or splitting it instead of working it through.</x:v>
      </x:c>
      <x:c r="J4" s="54" t="str">
        <x:v>A confrontation builds; the other side comes fully into view.</x:v>
      </x:c>
      <x:c r="K4" s="54" t="str">
        <x:v>The standoff resolves into balance or a split.</x:v>
      </x:c>
      <x:c r="L4" s="54" t="str">
        <x:v>Expansion meets imagination. Idealism and vision on a large scale. Psychologically the opposition is inner tension to integrate: Gullibility and wishful thinking mistaken for reality. The growth is owning both sides instead of splitting them.</x:v>
      </x:c>
      <x:c r="M4" s="54" t="str">
        <x:v>{
  "traditional": "classical and traditional sources",
  "modern": "modern aspect cookbook (psychological / popular register)",
  "cyclic": "humanistic / process-oriented source (cyclic model)"
}</x:v>
      </x:c>
      <x:c r="N4" s="54" t="str">
        <x:v>125af0674f8f3eca8da81569fe5524fbc4fc5abf9364b51783c8e146fc9132a9</x:v>
      </x:c>
      <x:c r="O4" s="54" t="str">
        <x:v>packages/astro-knowledge/data/transits/jupiter-opposition-neptune.json</x:v>
      </x:c>
    </x:row>
    <x:row r="5" ht="90" customHeight="1">
      <x:c r="A5" s="54" t="n">
        <x:v>3</x:v>
      </x:c>
      <x:c r="B5" s="54" t="str">
        <x:v>sky.jupiter.square.neptune</x:v>
      </x:c>
      <x:c r="C5" s="54" t="str">
        <x:v>No classical doctrine: Neptune is a modern planet unknown to traditional astrology. Read from the modern and cyclic layers; treat this contact as a slow, generational background tone.</x:v>
      </x:c>
      <x:c r="D5" s="54" t="str">
        <x:v>Expansion meets imagination. Idealism and vision on a large scale. Psychologically the square is inner tension to integrate: Gullibility and wishful thinking mistaken for reality. The growth is owning both sides instead of splitting them.</x:v>
      </x:c>
      <x:c r="E5" s="54" t="str">
        <x:v>First / Last Quarter</x:v>
      </x:c>
      <x:c r="F5" s="54" t="str">
        <x:v>Crisis of action: take conscious hold and build a durable form for growth against imagination, or be thrown off course.</x:v>
      </x:c>
      <x:c r="G5" s="54" t="str">
        <x:v>Crisis of meaning: break down the growth/imagination form that has outlived its purpose and reorient toward the next cycle.</x:v>
      </x:c>
      <x:c r="H5" s="54" t="str">
        <x:v>Friction in this area. Inspired vision; test it against logic before committing.</x:v>
      </x:c>
      <x:c r="I5" s="54" t="str">
        <x:v>Excess and overreach collides with illusion and escapism; forcing or splitting it instead of working it through.</x:v>
      </x:c>
      <x:c r="J5" s="54" t="str">
        <x:v>Friction builds toward a forced adjustment.</x:v>
      </x:c>
      <x:c r="K5" s="54" t="str">
        <x:v>The crisis passes; what was restructured settles.</x:v>
      </x:c>
      <x:c r="L5" s="54" t="str">
        <x:v>Expansion meets imagination. Idealism and vision on a large scale. Psychologically the square is inner tension to integrate: Gullibility and wishful thinking mistaken for reality. The growth is owning both sides instead of splitting them.</x:v>
      </x:c>
      <x:c r="M5" s="54" t="str">
        <x:v>{
  "traditional": "classical and traditional sources",
  "modern": "modern aspect cookbook (psychological / popular register)",
  "cyclic": "humanistic / process-oriented source (cyclic model)"
}</x:v>
      </x:c>
      <x:c r="N5" s="54" t="str">
        <x:v>707ab25ee91dcf716b9f64ff4b08fa63f72989dd4ea4cdf2aeb9dad79137b4d8</x:v>
      </x:c>
      <x:c r="O5" s="54" t="str">
        <x:v>packages/astro-knowledge/data/transits/jupiter-square-neptune.json</x:v>
      </x:c>
    </x:row>
    <x:row r="6" ht="90" customHeight="1">
      <x:c r="A6" s="54" t="n">
        <x:v>4</x:v>
      </x:c>
      <x:c r="B6" s="54" t="str">
        <x:v>sky.jupiter.trine.neptune</x:v>
      </x:c>
      <x:c r="C6" s="54" t="str">
        <x:v>No classical doctrine: Neptune is a modern planet unknown to traditional astrology. Read from the modern and cyclic layers; treat this contact as a slow, generational background tone.</x:v>
      </x:c>
      <x:c r="D6" s="54" t="str">
        <x:v>Expansion meets imagination. Idealism and vision on a large scale. The trine makes this a natural strength: Imaginative ideas that turn out to have practical application. The growth edge is not to coast on the ease.</x:v>
      </x:c>
      <x:c r="E6" s="54" t="str">
        <x:v>Waxing / waning trine</x:v>
      </x:c>
      <x:c r="F6" s="54" t="str">
        <x:v>Growth and imagination flow together with ease; respond to the opportunity.</x:v>
      </x:c>
      <x:c r="G6" s="54" t="str">
        <x:v>Distribute and give transmissible form to what growth and imagination have realized.</x:v>
      </x:c>
      <x:c r="H6" s="54" t="str">
        <x:v>An opening in this area. Inspired vision; test it against logic before committing.</x:v>
      </x:c>
      <x:c r="I6" s="54" t="str">
        <x:v>The ease lets excess and overreach and illusion and escapism go unchecked, or the opening pass unused.</x:v>
      </x:c>
      <x:c r="J6" s="54" t="str">
        <x:v>Ease and support build and arrive on their own.</x:v>
      </x:c>
      <x:c r="K6" s="54" t="str">
        <x:v>The ease withdraws; the flow passes, used or not.</x:v>
      </x:c>
      <x:c r="L6" s="54" t="str">
        <x:v>Expansion meets imagination. Idealism and vision on a large scale. The trine makes this a natural strength: Imaginative ideas that turn out to have practical application. The growth edge is not to coast on the ease.</x:v>
      </x:c>
      <x:c r="M6" s="54" t="str">
        <x:v>{
  "traditional": "classical and traditional sources",
  "modern": "modern aspect cookbook (psychological / popular register)",
  "cyclic": "humanistic / process-oriented source (cyclic model)"
}</x:v>
      </x:c>
      <x:c r="N6" s="54" t="str">
        <x:v>3ca99185c827566c911acdf3c25252dcf0db25568ac9e9c6d75e74dffed984ba</x:v>
      </x:c>
      <x:c r="O6" s="54" t="str">
        <x:v>packages/astro-knowledge/data/transits/jupiter-trine-neptune.json</x:v>
      </x:c>
    </x:row>
    <x:row r="7" ht="90" customHeight="1">
      <x:c r="A7" s="54" t="n">
        <x:v>5</x:v>
      </x:c>
      <x:c r="B7" s="54" t="str">
        <x:v>sky.jupiter.sextile.neptune</x:v>
      </x:c>
      <x:c r="C7" s="54" t="str">
        <x:v>No classical doctrine: Neptune is a modern planet unknown to traditional astrology. Read from the modern and cyclic layers; treat this contact as a slow, generational background tone.</x:v>
      </x:c>
      <x:c r="D7" s="54" t="str">
        <x:v>Expansion meets imagination. Idealism and vision on a large scale. The sextile makes this a natural strength: Imaginative ideas that turn out to have practical application. The growth edge is not to coast on the ease.</x:v>
      </x:c>
      <x:c r="E7" s="54" t="str">
        <x:v>Waxing / waning sextile</x:v>
      </x:c>
      <x:c r="F7" s="54" t="str">
        <x:v>A chance to organize growth and imagination into a new form; it must be actively taken up.</x:v>
      </x:c>
      <x:c r="G7" s="54" t="str">
        <x:v>Reorganize and share what growth and imagination have taught; communicate the insight.</x:v>
      </x:c>
      <x:c r="H7" s="54" t="str">
        <x:v>An opening in this area. Inspired vision; test it against logic before committing.</x:v>
      </x:c>
      <x:c r="I7" s="54" t="str">
        <x:v>The ease lets excess and overreach and illusion and escapism go unchecked, or the opening pass unused.</x:v>
      </x:c>
      <x:c r="J7" s="54" t="str">
        <x:v>A supportive opening becomes available; offered, not automatic.</x:v>
      </x:c>
      <x:c r="K7" s="54" t="str">
        <x:v>The opening closes; unused, it passes.</x:v>
      </x:c>
      <x:c r="L7" s="54" t="str">
        <x:v>Expansion meets imagination. Idealism and vision on a large scale. The sextile makes this a natural strength: Imaginative ideas that turn out to have practical application. The growth edge is not to coast on the ease.</x:v>
      </x:c>
      <x:c r="M7" s="54" t="str">
        <x:v>{
  "traditional": "classical and traditional sources",
  "modern": "modern aspect cookbook (psychological / popular register)",
  "cyclic": "humanistic / process-oriented source (cyclic model)"
}</x:v>
      </x:c>
      <x:c r="N7" s="54" t="str">
        <x:v>325a024641e14d39166abe8ad75318d68d131ec0f44a381a30c55548d5bfdc1a</x:v>
      </x:c>
      <x:c r="O7" s="54" t="str">
        <x:v>packages/astro-knowledge/data/transits/jupiter-sextile-neptune.json</x:v>
      </x:c>
    </x:row>
    <x:row r="8" ht="90" customHeight="1">
      <x:c r="A8" s="54" t="n">
        <x:v>6</x:v>
      </x:c>
      <x:c r="B8" s="54" t="str">
        <x:v>sky.jupiter.conjunction.pluto</x:v>
      </x:c>
      <x:c r="C8" s="54" t="str">
        <x:v>No classical doctrine: Pluto is a modern planet unknown to traditional astrology. Read from the modern and cyclic layers; treat this contact as a slow, generational background tone.</x:v>
      </x:c>
      <x:c r="D8" s="54" t="str">
        <x:v>Expansion meets power. Large-scale ambition, intense conviction, and a drive to overhaul inherited beliefs. Fused, these drives are difficult to separate and ask to be consciously integrated rather than acted out blindly.</x:v>
      </x:c>
      <x:c r="E8" s="54" t="str">
        <x:v>New (seed)</x:v>
      </x:c>
      <x:c r="F8" s="54" t="str"/>
      <x:c r="G8" s="54" t="str"/>
      <x:c r="H8" s="54" t="str">
        <x:v>Concentrated focus in this area. Big, transformative ambition; the intensity can overshoot.</x:v>
      </x:c>
      <x:c r="I8" s="54" t="str">
        <x:v>Excess and overreach fused with control and obsession, with no distance to tell them apart.</x:v>
      </x:c>
      <x:c r="J8" s="54" t="str">
        <x:v>The two fuse and intensify as they close in.</x:v>
      </x:c>
      <x:c r="K8" s="54" t="str">
        <x:v>The fused theme peaks and discharges.</x:v>
      </x:c>
      <x:c r="L8" s="54" t="str">
        <x:v>Expansion meets power. Large-scale ambition, intense conviction, and a drive to overhaul inherited beliefs. Fused, these drives are difficult to separate and ask to be consciously integrated rather than acted out blindly.</x:v>
      </x:c>
      <x:c r="M8" s="54" t="str">
        <x:v>{
  "traditional": "classical and traditional sources",
  "modern": "modern aspect cookbook (psychological / popular register)",
  "cyclic": "humanistic / process-oriented source (cyclic model)"
}</x:v>
      </x:c>
      <x:c r="N8" s="54" t="str">
        <x:v>aff4afa7d3883dd47f6c27945a99238a15e4f64d1f0a7b2862493f1bcc23103c</x:v>
      </x:c>
      <x:c r="O8" s="54" t="str">
        <x:v>packages/astro-knowledge/data/transits/jupiter-conjunction-pluto.json</x:v>
      </x:c>
    </x:row>
    <x:row r="9" ht="90" customHeight="1">
      <x:c r="A9" s="54" t="n">
        <x:v>7</x:v>
      </x:c>
      <x:c r="B9" s="54" t="str">
        <x:v>sky.jupiter.opposition.pluto</x:v>
      </x:c>
      <x:c r="C9" s="54" t="str">
        <x:v>No classical doctrine: Pluto is a modern planet unknown to traditional astrology. Read from the modern and cyclic layers; treat this contact as a slow, generational background tone.</x:v>
      </x:c>
      <x:c r="D9" s="54" t="str">
        <x:v>Expansion meets power. Large-scale ambition, intense conviction, and a drive to overhaul inherited beliefs. Psychologically the opposition is inner tension to integrate: Conviction hardens into zealotry or overreach. The growth is owning both sides instead of splitting them.</x:v>
      </x:c>
      <x:c r="E9" s="54" t="str">
        <x:v>Full (culmination)</x:v>
      </x:c>
      <x:c r="F9" s="54" t="str"/>
      <x:c r="G9" s="54" t="str"/>
      <x:c r="H9" s="54" t="str">
        <x:v>Friction in this area. Big, transformative ambition; the intensity can overshoot.</x:v>
      </x:c>
      <x:c r="I9" s="54" t="str">
        <x:v>Excess and overreach collides with control and obsession; forcing or splitting it instead of working it through.</x:v>
      </x:c>
      <x:c r="J9" s="54" t="str">
        <x:v>A confrontation builds; the other side comes fully into view.</x:v>
      </x:c>
      <x:c r="K9" s="54" t="str">
        <x:v>The standoff resolves into balance or a split.</x:v>
      </x:c>
      <x:c r="L9" s="54" t="str">
        <x:v>Expansion meets power. Large-scale ambition, intense conviction, and a drive to overhaul inherited beliefs. Psychologically the opposition is inner tension to integrate: Conviction hardens into zealotry or overreach. The growth is owning both sides instead of splitting them.</x:v>
      </x:c>
      <x:c r="M9" s="54" t="str">
        <x:v>{
  "traditional": "classical and traditional sources",
  "modern": "modern aspect cookbook (psychological / popular register)",
  "cyclic": "humanistic / process-oriented source (cyclic model)"
}</x:v>
      </x:c>
      <x:c r="N9" s="54" t="str">
        <x:v>a3aca80fbef8647e8e29ceadae3dd8dc41e1c540ebbbce465f6216c9aeaa5438</x:v>
      </x:c>
      <x:c r="O9" s="54" t="str">
        <x:v>packages/astro-knowledge/data/transits/jupiter-opposition-pluto.json</x:v>
      </x:c>
    </x:row>
    <x:row r="10" ht="90" customHeight="1">
      <x:c r="A10" s="54" t="n">
        <x:v>8</x:v>
      </x:c>
      <x:c r="B10" s="54" t="str">
        <x:v>sky.jupiter.square.pluto</x:v>
      </x:c>
      <x:c r="C10" s="54" t="str">
        <x:v>No classical doctrine: Pluto is a modern planet unknown to traditional astrology. Read from the modern and cyclic layers; treat this contact as a slow, generational background tone.</x:v>
      </x:c>
      <x:c r="D10" s="54" t="str">
        <x:v>Expansion meets power. Large-scale ambition, intense conviction, and a drive to overhaul inherited beliefs. Psychologically the square is inner tension to integrate: Conviction hardens into zealotry or overreach. The growth is owning both sides instead of splitting them.</x:v>
      </x:c>
      <x:c r="E10" s="54" t="str">
        <x:v>First / Last Quarter</x:v>
      </x:c>
      <x:c r="F10" s="54" t="str">
        <x:v>Crisis of action: take conscious hold and build a durable form for growth against power, or be thrown off course.</x:v>
      </x:c>
      <x:c r="G10" s="54" t="str">
        <x:v>Crisis of meaning: break down the growth/power form that has outlived its purpose and reorient toward the next cycle.</x:v>
      </x:c>
      <x:c r="H10" s="54" t="str">
        <x:v>Friction in this area. Big, transformative ambition; the intensity can overshoot.</x:v>
      </x:c>
      <x:c r="I10" s="54" t="str">
        <x:v>Excess and overreach collides with control and obsession; forcing or splitting it instead of working it through.</x:v>
      </x:c>
      <x:c r="J10" s="54" t="str">
        <x:v>Friction builds toward a forced adjustment.</x:v>
      </x:c>
      <x:c r="K10" s="54" t="str">
        <x:v>The crisis passes; what was restructured settles.</x:v>
      </x:c>
      <x:c r="L10" s="54" t="str">
        <x:v>Expansion meets power. Large-scale ambition, intense conviction, and a drive to overhaul inherited beliefs. Psychologically the square is inner tension to integrate: Conviction hardens into zealotry or overreach. The growth is owning both sides instead of splitting them.</x:v>
      </x:c>
      <x:c r="M10" s="54" t="str">
        <x:v>{
  "traditional": "classical and traditional sources",
  "modern": "modern aspect cookbook (psychological / popular register)",
  "cyclic": "humanistic / process-oriented source (cyclic model)"
}</x:v>
      </x:c>
      <x:c r="N10" s="54" t="str">
        <x:v>5cc2e631f83e8cd7ea932ec76252b1bc62da3858e68e830075831448e7958cd4</x:v>
      </x:c>
      <x:c r="O10" s="54" t="str">
        <x:v>packages/astro-knowledge/data/transits/jupiter-square-pluto.json</x:v>
      </x:c>
    </x:row>
    <x:row r="11" ht="90" customHeight="1">
      <x:c r="A11" s="54" t="n">
        <x:v>9</x:v>
      </x:c>
      <x:c r="B11" s="54" t="str">
        <x:v>sky.jupiter.trine.pluto</x:v>
      </x:c>
      <x:c r="C11" s="54" t="str">
        <x:v>No classical doctrine: Pluto is a modern planet unknown to traditional astrology. Read from the modern and cyclic layers; treat this contact as a slow, generational background tone.</x:v>
      </x:c>
      <x:c r="D11" s="54" t="str">
        <x:v>Expansion meets power. Large-scale ambition, intense conviction, and a drive to overhaul inherited beliefs. The trine makes this a natural strength: Transformative ambition pursued with focus. The growth edge is not to coast on the ease.</x:v>
      </x:c>
      <x:c r="E11" s="54" t="str">
        <x:v>Waxing / waning trine</x:v>
      </x:c>
      <x:c r="F11" s="54" t="str">
        <x:v>Growth and power flow together with ease; respond to the opportunity.</x:v>
      </x:c>
      <x:c r="G11" s="54" t="str">
        <x:v>Distribute and give transmissible form to what growth and power have realized.</x:v>
      </x:c>
      <x:c r="H11" s="54" t="str">
        <x:v>An opening in this area. Big, transformative ambition; the intensity can overshoot.</x:v>
      </x:c>
      <x:c r="I11" s="54" t="str">
        <x:v>The ease lets excess and overreach and control and obsession go unchecked, or the opening pass unused.</x:v>
      </x:c>
      <x:c r="J11" s="54" t="str">
        <x:v>Ease and support build and arrive on their own.</x:v>
      </x:c>
      <x:c r="K11" s="54" t="str">
        <x:v>The ease withdraws; the flow passes, used or not.</x:v>
      </x:c>
      <x:c r="L11" s="54" t="str">
        <x:v>Expansion meets power. Large-scale ambition, intense conviction, and a drive to overhaul inherited beliefs. The trine makes this a natural strength: Transformative ambition pursued with focus. The growth edge is not to coast on the ease.</x:v>
      </x:c>
      <x:c r="M11" s="54" t="str">
        <x:v>{
  "traditional": "classical and traditional sources",
  "modern": "modern aspect cookbook (psychological / popular register)",
  "cyclic": "humanistic / process-oriented source (cyclic model)"
}</x:v>
      </x:c>
      <x:c r="N11" s="54" t="str">
        <x:v>a423db1913f26fa86b3232cfaa6be5e75e43736e2381279db1140623f1402562</x:v>
      </x:c>
      <x:c r="O11" s="54" t="str">
        <x:v>packages/astro-knowledge/data/transits/jupiter-trine-pluto.json</x:v>
      </x:c>
    </x:row>
    <x:row r="12" ht="90" customHeight="1">
      <x:c r="A12" s="54" t="n">
        <x:v>10</x:v>
      </x:c>
      <x:c r="B12" s="54" t="str">
        <x:v>sky.jupiter.sextile.pluto</x:v>
      </x:c>
      <x:c r="C12" s="54" t="str">
        <x:v>No classical doctrine: Pluto is a modern planet unknown to traditional astrology. Read from the modern and cyclic layers; treat this contact as a slow, generational background tone.</x:v>
      </x:c>
      <x:c r="D12" s="54" t="str">
        <x:v>Expansion meets power. Large-scale ambition, intense conviction, and a drive to overhaul inherited beliefs. The sextile makes this a natural strength: Transformative ambition pursued with focus. The growth edge is not to coast on the ease.</x:v>
      </x:c>
      <x:c r="E12" s="54" t="str">
        <x:v>Waxing / waning sextile</x:v>
      </x:c>
      <x:c r="F12" s="54" t="str">
        <x:v>A chance to organize growth and power into a new form; it must be actively taken up.</x:v>
      </x:c>
      <x:c r="G12" s="54" t="str">
        <x:v>Reorganize and share what growth and power have taught; communicate the insight.</x:v>
      </x:c>
      <x:c r="H12" s="54" t="str">
        <x:v>An opening in this area. Big, transformative ambition; the intensity can overshoot.</x:v>
      </x:c>
      <x:c r="I12" s="54" t="str">
        <x:v>The ease lets excess and overreach and control and obsession go unchecked, or the opening pass unused.</x:v>
      </x:c>
      <x:c r="J12" s="54" t="str">
        <x:v>A supportive opening becomes available; offered, not automatic.</x:v>
      </x:c>
      <x:c r="K12" s="54" t="str">
        <x:v>The opening closes; unused, it passes.</x:v>
      </x:c>
      <x:c r="L12" s="54" t="str">
        <x:v>Expansion meets power. Large-scale ambition, intense conviction, and a drive to overhaul inherited beliefs. The sextile makes this a natural strength: Transformative ambition pursued with focus. The growth edge is not to coast on the ease.</x:v>
      </x:c>
      <x:c r="M12" s="54" t="str">
        <x:v>{
  "traditional": "classical and traditional sources",
  "modern": "modern aspect cookbook (psychological / popular register)",
  "cyclic": "humanistic / process-oriented source (cyclic model)"
}</x:v>
      </x:c>
      <x:c r="N12" s="54" t="str">
        <x:v>170964254ddd2f9c3660759b8c44d4b2c13939c60481acd7f4192213eeea5bad</x:v>
      </x:c>
      <x:c r="O12" s="54" t="str">
        <x:v>packages/astro-knowledge/data/transits/jupiter-sextile-pluto.json</x:v>
      </x:c>
    </x:row>
    <x:row r="13" ht="90" customHeight="1">
      <x:c r="A13" s="54" t="n">
        <x:v>11</x:v>
      </x:c>
      <x:c r="B13" s="54" t="str">
        <x:v>sky.jupiter.conjunction.saturn</x:v>
      </x:c>
      <x:c r="C13" s="54" t="str">
        <x:v>Growth, fortune, and patronage fused with limitation, delay, and hard structure. The two act as one and the combined significations are hard to separate. The benefic Jupiter tempers the malefic Saturn.</x:v>
      </x:c>
      <x:c r="D13" s="54" t="str">
        <x:v>Expansion meets contraction. The swing between optimism and restraint, growth and discipline. Fused, these drives are difficult to separate and ask to be consciously integrated rather than acted out blindly.</x:v>
      </x:c>
      <x:c r="E13" s="54" t="str">
        <x:v>New (seed)</x:v>
      </x:c>
      <x:c r="F13" s="54" t="str"/>
      <x:c r="G13" s="54" t="str"/>
      <x:c r="H13" s="54" t="str">
        <x:v>Concentrated focus in this area. Balancing risk against prudence; unmanaged, it reads as inconsistency.</x:v>
      </x:c>
      <x:c r="I13" s="54" t="str">
        <x:v>Excess and overreach fused with fear and rigidity, with no distance to tell them apart.</x:v>
      </x:c>
      <x:c r="J13" s="54" t="str">
        <x:v>The two fuse and intensify as they close in.</x:v>
      </x:c>
      <x:c r="K13" s="54" t="str">
        <x:v>The fused theme peaks and discharges.</x:v>
      </x:c>
      <x:c r="L13" s="54" t="str">
        <x:v>Expansion meets contraction. The swing between optimism and restraint, growth and discipline. Fused, these drives are difficult to separate and ask to be consciously integrated rather than acted out blindly.</x:v>
      </x:c>
      <x:c r="M13" s="54" t="str">
        <x:v>{
  "traditional": "classical and traditional sources",
  "modern": "modern aspect cookbook (psychological / popular register)",
  "cyclic": "humanistic / process-oriented source (cyclic model)"
}</x:v>
      </x:c>
      <x:c r="N13" s="54" t="str">
        <x:v>240ef7e348603a65b9e114c0a6cc65b440d93006c98c9b9999de714c9a85c2a9</x:v>
      </x:c>
      <x:c r="O13" s="54" t="str">
        <x:v>packages/astro-knowledge/data/transits/jupiter-conjunction-saturn.json</x:v>
      </x:c>
    </x:row>
    <x:row r="14" ht="90" customHeight="1">
      <x:c r="A14" s="54" t="n">
        <x:v>12</x:v>
      </x:c>
      <x:c r="B14" s="54" t="str">
        <x:v>sky.jupiter.opposition.saturn</x:v>
      </x:c>
      <x:c r="C14" s="54" t="str">
        <x:v>A hard contact. Growth, fortune, and patronage works against limitation, delay, and hard structure - obstruction, friction, and strained outcomes in these areas. The benefic Jupiter tempers the malefic Saturn.</x:v>
      </x:c>
      <x:c r="D14" s="54" t="str">
        <x:v>Expansion meets contraction. The swing between optimism and restraint, growth and discipline. Psychologically the opposition is inner tension to integrate: Lurching between extremes, from let-loose to grind, without a steady middle. The growth is owning both sides instead of splitting them.</x:v>
      </x:c>
      <x:c r="E14" s="54" t="str">
        <x:v>Full (culmination)</x:v>
      </x:c>
      <x:c r="F14" s="54" t="str"/>
      <x:c r="G14" s="54" t="str"/>
      <x:c r="H14" s="54" t="str">
        <x:v>Friction in this area. Balancing risk against prudence; unmanaged, it reads as inconsistency.</x:v>
      </x:c>
      <x:c r="I14" s="54" t="str">
        <x:v>Excess and overreach collides with fear and rigidity; forcing or splitting it instead of working it through.</x:v>
      </x:c>
      <x:c r="J14" s="54" t="str">
        <x:v>A confrontation builds; the other side comes fully into view.</x:v>
      </x:c>
      <x:c r="K14" s="54" t="str">
        <x:v>The standoff resolves into balance or a split.</x:v>
      </x:c>
      <x:c r="L14" s="54" t="str">
        <x:v>Expansion meets contraction. The swing between optimism and restraint, growth and discipline. Psychologically the opposition is inner tension to integrate: Lurching between extremes, from let-loose to grind, without a steady middle. The growth is owning both sides instead of splitting them.</x:v>
      </x:c>
      <x:c r="M14" s="54" t="str">
        <x:v>{
  "traditional": "classical and traditional sources",
  "modern": "modern aspect cookbook (psychological / popular register)",
  "cyclic": "humanistic / process-oriented source (cyclic model)"
}</x:v>
      </x:c>
      <x:c r="N14" s="54" t="str">
        <x:v>ea19d54973de892f1086f7afbceda8a2668b1a50aaa08e120422cddd8fde3378</x:v>
      </x:c>
      <x:c r="O14" s="54" t="str">
        <x:v>packages/astro-knowledge/data/transits/jupiter-opposition-saturn.json</x:v>
      </x:c>
    </x:row>
    <x:row r="15" ht="90" customHeight="1">
      <x:c r="A15" s="54" t="n">
        <x:v>13</x:v>
      </x:c>
      <x:c r="B15" s="54" t="str">
        <x:v>sky.jupiter.square.saturn</x:v>
      </x:c>
      <x:c r="C15" s="54" t="str">
        <x:v>A hard contact. Growth, fortune, and patronage works against limitation, delay, and hard structure - obstruction, friction, and strained outcomes in these areas. The benefic Jupiter tempers the malefic Saturn.</x:v>
      </x:c>
      <x:c r="D15" s="54" t="str">
        <x:v>Expansion meets contraction. The swing between optimism and restraint, growth and discipline. Psychologically the square is inner tension to integrate: Lurching between extremes, from let-loose to grind, without a steady middle. The growth is owning both sides instead of splitting them.</x:v>
      </x:c>
      <x:c r="E15" s="54" t="str">
        <x:v>First / Last Quarter</x:v>
      </x:c>
      <x:c r="F15" s="54" t="str">
        <x:v>Crisis of action: take conscious hold and build a durable form for growth against limit, or be thrown off course.</x:v>
      </x:c>
      <x:c r="G15" s="54" t="str">
        <x:v>Crisis of meaning: break down the growth/limit form that has outlived its purpose and reorient toward the next cycle.</x:v>
      </x:c>
      <x:c r="H15" s="54" t="str">
        <x:v>Friction in this area. Balancing risk against prudence; unmanaged, it reads as inconsistency.</x:v>
      </x:c>
      <x:c r="I15" s="54" t="str">
        <x:v>Excess and overreach collides with fear and rigidity; forcing or splitting it instead of working it through.</x:v>
      </x:c>
      <x:c r="J15" s="54" t="str">
        <x:v>Friction builds toward a forced adjustment.</x:v>
      </x:c>
      <x:c r="K15" s="54" t="str">
        <x:v>The crisis passes; what was restructured settles.</x:v>
      </x:c>
      <x:c r="L15" s="54" t="str">
        <x:v>Expansion meets contraction. The swing between optimism and restraint, growth and discipline. Psychologically the square is inner tension to integrate: Lurching between extremes, from let-loose to grind, without a steady middle. The growth is owning both sides instead of splitting them.</x:v>
      </x:c>
      <x:c r="M15" s="54" t="str">
        <x:v>{
  "traditional": "classical and traditional sources",
  "modern": "modern aspect cookbook (psychological / popular register)",
  "cyclic": "humanistic / process-oriented source (cyclic model)"
}</x:v>
      </x:c>
      <x:c r="N15" s="54" t="str">
        <x:v>e71cfdeefe536d0812eff284ec39e4c986ead0161ee1c4b4eeefdb1f136ee210</x:v>
      </x:c>
      <x:c r="O15" s="54" t="str">
        <x:v>packages/astro-knowledge/data/transits/jupiter-square-saturn.json</x:v>
      </x:c>
    </x:row>
    <x:row r="16" ht="90" customHeight="1">
      <x:c r="A16" s="54" t="n">
        <x:v>14</x:v>
      </x:c>
      <x:c r="B16" s="54" t="str">
        <x:v>sky.jupiter.trine.saturn</x:v>
      </x:c>
      <x:c r="C16" s="54" t="str">
        <x:v>A soft contact. Growth, fortune, and patronage supports limitation, delay, and hard structure - cooperation and favorable conditions in these areas. The benefic Jupiter tempers the malefic Saturn.</x:v>
      </x:c>
      <x:c r="D16" s="54" t="str">
        <x:v>Expansion meets contraction. The swing between optimism and restraint, growth and discipline. The trine makes this a natural strength: Ambition grounded by realism; you grow at a sustainable pace. The growth edge is not to coast on the ease.</x:v>
      </x:c>
      <x:c r="E16" s="54" t="str">
        <x:v>Waxing / waning trine</x:v>
      </x:c>
      <x:c r="F16" s="54" t="str">
        <x:v>Growth and limit flow together with ease; respond to the opportunity.</x:v>
      </x:c>
      <x:c r="G16" s="54" t="str">
        <x:v>Distribute and give transmissible form to what growth and limit have realized.</x:v>
      </x:c>
      <x:c r="H16" s="54" t="str">
        <x:v>An opening in this area. Balancing risk against prudence; unmanaged, it reads as inconsistency.</x:v>
      </x:c>
      <x:c r="I16" s="54" t="str">
        <x:v>The ease lets excess and overreach and fear and rigidity go unchecked, or the opening pass unused.</x:v>
      </x:c>
      <x:c r="J16" s="54" t="str">
        <x:v>Ease and support build and arrive on their own.</x:v>
      </x:c>
      <x:c r="K16" s="54" t="str">
        <x:v>The ease withdraws; the flow passes, used or not.</x:v>
      </x:c>
      <x:c r="L16" s="54" t="str">
        <x:v>Expansion meets contraction. The swing between optimism and restraint, growth and discipline. The trine makes this a natural strength: Ambition grounded by realism; you grow at a sustainable pace. The growth edge is not to coast on the ease.</x:v>
      </x:c>
      <x:c r="M16" s="54" t="str">
        <x:v>{
  "traditional": "classical and traditional sources",
  "modern": "modern aspect cookbook (psychological / popular register)",
  "cyclic": "humanistic / process-oriented source (cyclic model)"
}</x:v>
      </x:c>
      <x:c r="N16" s="54" t="str">
        <x:v>79028e28ed90fc8349a6eb90161ce5f9fd4e007fa8c8eb8efdbe9f462585bcdd</x:v>
      </x:c>
      <x:c r="O16" s="54" t="str">
        <x:v>packages/astro-knowledge/data/transits/jupiter-trine-saturn.json</x:v>
      </x:c>
    </x:row>
    <x:row r="17" ht="90" customHeight="1">
      <x:c r="A17" s="54" t="n">
        <x:v>15</x:v>
      </x:c>
      <x:c r="B17" s="54" t="str">
        <x:v>sky.jupiter.sextile.saturn</x:v>
      </x:c>
      <x:c r="C17" s="54" t="str">
        <x:v>A soft contact. Growth, fortune, and patronage supports limitation, delay, and hard structure - cooperation and favorable conditions in these areas. The benefic Jupiter tempers the malefic Saturn.</x:v>
      </x:c>
      <x:c r="D17" s="54" t="str">
        <x:v>Expansion meets contraction. The swing between optimism and restraint, growth and discipline. The sextile makes this a natural strength: Ambition grounded by realism; you grow at a sustainable pace. The growth edge is not to coast on the ease.</x:v>
      </x:c>
      <x:c r="E17" s="54" t="str">
        <x:v>Waxing / waning sextile</x:v>
      </x:c>
      <x:c r="F17" s="54" t="str">
        <x:v>A chance to organize growth and limit into a new form; it must be actively taken up.</x:v>
      </x:c>
      <x:c r="G17" s="54" t="str">
        <x:v>Reorganize and share what growth and limit have taught; communicate the insight.</x:v>
      </x:c>
      <x:c r="H17" s="54" t="str">
        <x:v>An opening in this area. Balancing risk against prudence; unmanaged, it reads as inconsistency.</x:v>
      </x:c>
      <x:c r="I17" s="54" t="str">
        <x:v>The ease lets excess and overreach and fear and rigidity go unchecked, or the opening pass unused.</x:v>
      </x:c>
      <x:c r="J17" s="54" t="str">
        <x:v>A supportive opening becomes available; offered, not automatic.</x:v>
      </x:c>
      <x:c r="K17" s="54" t="str">
        <x:v>The opening closes; unused, it passes.</x:v>
      </x:c>
      <x:c r="L17" s="54" t="str">
        <x:v>Expansion meets contraction. The swing between optimism and restraint, growth and discipline. The sextile makes this a natural strength: Ambition grounded by realism; you grow at a sustainable pace. The growth edge is not to coast on the ease.</x:v>
      </x:c>
      <x:c r="M17" s="54" t="str">
        <x:v>{
  "traditional": "classical and traditional sources",
  "modern": "modern aspect cookbook (psychological / popular register)",
  "cyclic": "humanistic / process-oriented source (cyclic model)"
}</x:v>
      </x:c>
      <x:c r="N17" s="54" t="str">
        <x:v>be0dd8f74a687e68648f891ebd93f3e49d21e08fe783707339bfbc4e0ce342db</x:v>
      </x:c>
      <x:c r="O17" s="54" t="str">
        <x:v>packages/astro-knowledge/data/transits/jupiter-sextile-saturn.json</x:v>
      </x:c>
    </x:row>
    <x:row r="18" ht="90" customHeight="1">
      <x:c r="A18" s="54" t="n">
        <x:v>16</x:v>
      </x:c>
      <x:c r="B18" s="54" t="str">
        <x:v>sky.jupiter.conjunction.uranus</x:v>
      </x:c>
      <x:c r="C18" s="54" t="str">
        <x:v>No classical doctrine: Uranus is a modern planet unknown to traditional astrology. Read from the modern and cyclic layers; treat this contact as a slow, generational background tone.</x:v>
      </x:c>
      <x:c r="D18" s="54" t="str">
        <x:v>Expansion meets disruption. Attraction to unconventional ideas and systems of thought. Fused, these drives are difficult to separate and ask to be consciously integrated rather than acted out blindly.</x:v>
      </x:c>
      <x:c r="E18" s="54" t="str">
        <x:v>New (seed)</x:v>
      </x:c>
      <x:c r="F18" s="54" t="str"/>
      <x:c r="G18" s="54" t="str"/>
      <x:c r="H18" s="54" t="str">
        <x:v>Concentrated focus in this area. Innovative thinking whose reception depends heavily on how it's framed.</x:v>
      </x:c>
      <x:c r="I18" s="54" t="str">
        <x:v>Excess and overreach fused with instability for its own sake, with no distance to tell them apart.</x:v>
      </x:c>
      <x:c r="J18" s="54" t="str">
        <x:v>The two fuse and intensify as they close in.</x:v>
      </x:c>
      <x:c r="K18" s="54" t="str">
        <x:v>The fused theme peaks and discharges.</x:v>
      </x:c>
      <x:c r="L18" s="54" t="str">
        <x:v>Expansion meets disruption. Attraction to unconventional ideas and systems of thought. Fused, these drives are difficult to separate and ask to be consciously integrated rather than acted out blindly.</x:v>
      </x:c>
      <x:c r="M18" s="54" t="str">
        <x:v>{
  "traditional": "classical and traditional sources",
  "modern": "modern aspect cookbook (psychological / popular register)",
  "cyclic": "humanistic / process-oriented source (cyclic model)"
}</x:v>
      </x:c>
      <x:c r="N18" s="54" t="str">
        <x:v>63d214559bc597d2e5664840fb5da43e33d7d4dfe323a7fb31d1157995280e5e</x:v>
      </x:c>
      <x:c r="O18" s="54" t="str">
        <x:v>packages/astro-knowledge/data/transits/jupiter-conjunction-uranus.json</x:v>
      </x:c>
    </x:row>
    <x:row r="19" ht="90" customHeight="1">
      <x:c r="A19" s="54" t="n">
        <x:v>17</x:v>
      </x:c>
      <x:c r="B19" s="54" t="str">
        <x:v>sky.jupiter.opposition.uranus</x:v>
      </x:c>
      <x:c r="C19" s="54" t="str">
        <x:v>No classical doctrine: Uranus is a modern planet unknown to traditional astrology. Read from the modern and cyclic layers; treat this contact as a slow, generational background tone.</x:v>
      </x:c>
      <x:c r="D19" s="54" t="str">
        <x:v>Expansion meets disruption. Attraction to unconventional ideas and systems of thought. Psychologically the opposition is inner tension to integrate: Seen as eccentric or a crank, no matter the merit of the idea. The growth is owning both sides instead of splitting them.</x:v>
      </x:c>
      <x:c r="E19" s="54" t="str">
        <x:v>Full (culmination)</x:v>
      </x:c>
      <x:c r="F19" s="54" t="str"/>
      <x:c r="G19" s="54" t="str"/>
      <x:c r="H19" s="54" t="str">
        <x:v>Friction in this area. Innovative thinking whose reception depends heavily on how it's framed.</x:v>
      </x:c>
      <x:c r="I19" s="54" t="str">
        <x:v>Excess and overreach collides with instability for its own sake; forcing or splitting it instead of working it through.</x:v>
      </x:c>
      <x:c r="J19" s="54" t="str">
        <x:v>A confrontation builds; the other side comes fully into view.</x:v>
      </x:c>
      <x:c r="K19" s="54" t="str">
        <x:v>The standoff resolves into balance or a split.</x:v>
      </x:c>
      <x:c r="L19" s="54" t="str">
        <x:v>Expansion meets disruption. Attraction to unconventional ideas and systems of thought. Psychologically the opposition is inner tension to integrate: Seen as eccentric or a crank, no matter the merit of the idea. The growth is owning both sides instead of splitting them.</x:v>
      </x:c>
      <x:c r="M19" s="54" t="str">
        <x:v>{
  "traditional": "classical and traditional sources",
  "modern": "modern aspect cookbook (psychological / popular register)",
  "cyclic": "humanistic / process-oriented source (cyclic model)"
}</x:v>
      </x:c>
      <x:c r="N19" s="54" t="str">
        <x:v>7e8bdf734f81b6eb10aed55a18b1758f14ea939e6efdb8fc2c0a6526b67be63e</x:v>
      </x:c>
      <x:c r="O19" s="54" t="str">
        <x:v>packages/astro-knowledge/data/transits/jupiter-opposition-uranus.json</x:v>
      </x:c>
    </x:row>
    <x:row r="20" ht="90" customHeight="1">
      <x:c r="A20" s="54" t="n">
        <x:v>18</x:v>
      </x:c>
      <x:c r="B20" s="54" t="str">
        <x:v>sky.jupiter.square.uranus</x:v>
      </x:c>
      <x:c r="C20" s="54" t="str">
        <x:v>No classical doctrine: Uranus is a modern planet unknown to traditional astrology. Read from the modern and cyclic layers; treat this contact as a slow, generational background tone.</x:v>
      </x:c>
      <x:c r="D20" s="54" t="str">
        <x:v>Expansion meets disruption. Attraction to unconventional ideas and systems of thought. Psychologically the square is inner tension to integrate: Seen as eccentric or a crank, no matter the merit of the idea. The growth is owning both sides instead of splitting them.</x:v>
      </x:c>
      <x:c r="E20" s="54" t="str">
        <x:v>First / Last Quarter</x:v>
      </x:c>
      <x:c r="F20" s="54" t="str">
        <x:v>Crisis of action: take conscious hold and build a durable form for growth against disruption, or be thrown off course.</x:v>
      </x:c>
      <x:c r="G20" s="54" t="str">
        <x:v>Crisis of meaning: break down the growth/disruption form that has outlived its purpose and reorient toward the next cycle.</x:v>
      </x:c>
      <x:c r="H20" s="54" t="str">
        <x:v>Friction in this area. Innovative thinking whose reception depends heavily on how it's framed.</x:v>
      </x:c>
      <x:c r="I20" s="54" t="str">
        <x:v>Excess and overreach collides with instability for its own sake; forcing or splitting it instead of working it through.</x:v>
      </x:c>
      <x:c r="J20" s="54" t="str">
        <x:v>Friction builds toward a forced adjustment.</x:v>
      </x:c>
      <x:c r="K20" s="54" t="str">
        <x:v>The crisis passes; what was restructured settles.</x:v>
      </x:c>
      <x:c r="L20" s="54" t="str">
        <x:v>Expansion meets disruption. Attraction to unconventional ideas and systems of thought. Psychologically the square is inner tension to integrate: Seen as eccentric or a crank, no matter the merit of the idea. The growth is owning both sides instead of splitting them.</x:v>
      </x:c>
      <x:c r="M20" s="54" t="str">
        <x:v>{
  "traditional": "classical and traditional sources",
  "modern": "modern aspect cookbook (psychological / popular register)",
  "cyclic": "humanistic / process-oriented source (cyclic model)"
}</x:v>
      </x:c>
      <x:c r="N20" s="54" t="str">
        <x:v>d76d5f361a4cfc902e15b9d0db4d50bbe2c73e848f5d356e411350c7ba75e89f</x:v>
      </x:c>
      <x:c r="O20" s="54" t="str">
        <x:v>packages/astro-knowledge/data/transits/jupiter-square-uranus.json</x:v>
      </x:c>
    </x:row>
    <x:row r="21" ht="90" customHeight="1">
      <x:c r="A21" s="54" t="n">
        <x:v>19</x:v>
      </x:c>
      <x:c r="B21" s="54" t="str">
        <x:v>sky.jupiter.trine.uranus</x:v>
      </x:c>
      <x:c r="C21" s="54" t="str">
        <x:v>No classical doctrine: Uranus is a modern planet unknown to traditional astrology. Read from the modern and cyclic layers; treat this contact as a slow, generational background tone.</x:v>
      </x:c>
      <x:c r="D21" s="54" t="str">
        <x:v>Expansion meets disruption. Attraction to unconventional ideas and systems of thought. The trine makes this a natural strength: Seen as forward-thinking and ahead of the curve; you get away with it. The growth edge is not to coast on the ease.</x:v>
      </x:c>
      <x:c r="E21" s="54" t="str">
        <x:v>Waxing / waning trine</x:v>
      </x:c>
      <x:c r="F21" s="54" t="str">
        <x:v>Growth and disruption flow together with ease; respond to the opportunity.</x:v>
      </x:c>
      <x:c r="G21" s="54" t="str">
        <x:v>Distribute and give transmissible form to what growth and disruption have realized.</x:v>
      </x:c>
      <x:c r="H21" s="54" t="str">
        <x:v>An opening in this area. Innovative thinking whose reception depends heavily on how it's framed.</x:v>
      </x:c>
      <x:c r="I21" s="54" t="str">
        <x:v>The ease lets excess and overreach and instability for its own sake go unchecked, or the opening pass unused.</x:v>
      </x:c>
      <x:c r="J21" s="54" t="str">
        <x:v>Ease and support build and arrive on their own.</x:v>
      </x:c>
      <x:c r="K21" s="54" t="str">
        <x:v>The ease withdraws; the flow passes, used or not.</x:v>
      </x:c>
      <x:c r="L21" s="54" t="str">
        <x:v>Expansion meets disruption. Attraction to unconventional ideas and systems of thought. The trine makes this a natural strength: Seen as forward-thinking and ahead of the curve; you get away with it. The growth edge is not to coast on the ease.</x:v>
      </x:c>
      <x:c r="M21" s="54" t="str">
        <x:v>{
  "traditional": "classical and traditional sources",
  "modern": "modern aspect cookbook (psychological / popular register)",
  "cyclic": "humanistic / process-oriented source (cyclic model)"
}</x:v>
      </x:c>
      <x:c r="N21" s="54" t="str">
        <x:v>3a9a87759dedde53060ffe3555a41b6342fd35fb73dfd58b540b11b9142ec85f</x:v>
      </x:c>
      <x:c r="O21" s="54" t="str">
        <x:v>packages/astro-knowledge/data/transits/jupiter-trine-uranus.json</x:v>
      </x:c>
    </x:row>
    <x:row r="22" ht="90" customHeight="1">
      <x:c r="A22" s="54" t="n">
        <x:v>20</x:v>
      </x:c>
      <x:c r="B22" s="54" t="str">
        <x:v>sky.jupiter.sextile.uranus</x:v>
      </x:c>
      <x:c r="C22" s="54" t="str">
        <x:v>No classical doctrine: Uranus is a modern planet unknown to traditional astrology. Read from the modern and cyclic layers; treat this contact as a slow, generational background tone.</x:v>
      </x:c>
      <x:c r="D22" s="54" t="str">
        <x:v>Expansion meets disruption. Attraction to unconventional ideas and systems of thought. The sextile makes this a natural strength: Seen as forward-thinking and ahead of the curve; you get away with it. The growth edge is not to coast on the ease.</x:v>
      </x:c>
      <x:c r="E22" s="54" t="str">
        <x:v>Waxing / waning sextile</x:v>
      </x:c>
      <x:c r="F22" s="54" t="str">
        <x:v>A chance to organize growth and disruption into a new form; it must be actively taken up.</x:v>
      </x:c>
      <x:c r="G22" s="54" t="str">
        <x:v>Reorganize and share what growth and disruption have taught; communicate the insight.</x:v>
      </x:c>
      <x:c r="H22" s="54" t="str">
        <x:v>An opening in this area. Innovative thinking whose reception depends heavily on how it's framed.</x:v>
      </x:c>
      <x:c r="I22" s="54" t="str">
        <x:v>The ease lets excess and overreach and instability for its own sake go unchecked, or the opening pass unused.</x:v>
      </x:c>
      <x:c r="J22" s="54" t="str">
        <x:v>A supportive opening becomes available; offered, not automatic.</x:v>
      </x:c>
      <x:c r="K22" s="54" t="str">
        <x:v>The opening closes; unused, it passes.</x:v>
      </x:c>
      <x:c r="L22" s="54" t="str">
        <x:v>Expansion meets disruption. Attraction to unconventional ideas and systems of thought. The sextile makes this a natural strength: Seen as forward-thinking and ahead of the curve; you get away with it. The growth edge is not to coast on the ease.</x:v>
      </x:c>
      <x:c r="M22" s="54" t="str">
        <x:v>{
  "traditional": "classical and traditional sources",
  "modern": "modern aspect cookbook (psychological / popular register)",
  "cyclic": "humanistic / process-oriented source (cyclic model)"
}</x:v>
      </x:c>
      <x:c r="N22" s="54" t="str">
        <x:v>3cdcf0bc48be29bf75efa0a524887193af3fafc321c338542e01dd14bbfb93ef</x:v>
      </x:c>
      <x:c r="O22" s="54" t="str">
        <x:v>packages/astro-knowledge/data/transits/jupiter-sextile-uranus.json</x:v>
      </x:c>
    </x:row>
    <x:row r="23" ht="90" customHeight="1">
      <x:c r="A23" s="54" t="n">
        <x:v>21</x:v>
      </x:c>
      <x:c r="B23" s="54" t="str">
        <x:v>sky.mars.conjunction.jupiter</x:v>
      </x:c>
      <x:c r="C23" s="54" t="str">
        <x:v>Action, conflict, and heat fused with growth, fortune, and patronage. The two act as one and the combined significations are hard to separate. The benefic Jupiter tempers the malefic Mars.</x:v>
      </x:c>
      <x:c r="D23" s="54" t="str">
        <x:v>Energy meets expansion. Strong drive, confidence, and enthusiasm, sometimes to the point of recklessness. Fused, these drives are difficult to separate and ask to be consciously integrated rather than acted out blindly.</x:v>
      </x:c>
      <x:c r="E23" s="54" t="str">
        <x:v>New (seed)</x:v>
      </x:c>
      <x:c r="F23" s="54" t="str"/>
      <x:c r="G23" s="54" t="str"/>
      <x:c r="H23" s="54" t="str">
        <x:v>Concentrated focus in this area. Big drive and ambition; focus is what turns it into results rather than waste.</x:v>
      </x:c>
      <x:c r="I23" s="54" t="str">
        <x:v>Anger and recklessness fused with excess and overreach, with no distance to tell them apart.</x:v>
      </x:c>
      <x:c r="J23" s="54" t="str">
        <x:v>The two fuse and intensify as they close in.</x:v>
      </x:c>
      <x:c r="K23" s="54" t="str">
        <x:v>The fused theme peaks and discharges.</x:v>
      </x:c>
      <x:c r="L23" s="54" t="str">
        <x:v>Energy meets expansion. Strong drive, confidence, and enthusiasm, sometimes to the point of recklessness. Fused, these drives are difficult to separate and ask to be consciously integrated rather than acted out blindly.</x:v>
      </x:c>
      <x:c r="M23" s="54" t="str">
        <x:v>{
  "traditional": "classical and traditional sources",
  "modern": "modern aspect cookbook (psychological / popular register)",
  "cyclic": "humanistic / process-oriented source (cyclic model)"
}</x:v>
      </x:c>
      <x:c r="N23" s="54" t="str">
        <x:v>4c5601badff6306cce61e6ebe35d7faae432faa0b985dae81d7e6dd7ae473552</x:v>
      </x:c>
      <x:c r="O23" s="54" t="str">
        <x:v>packages/astro-knowledge/data/transits/mars-conjunction-jupiter.json</x:v>
      </x:c>
    </x:row>
    <x:row r="24" ht="90" customHeight="1">
      <x:c r="A24" s="54" t="n">
        <x:v>22</x:v>
      </x:c>
      <x:c r="B24" s="54" t="str">
        <x:v>sky.mars.opposition.jupiter</x:v>
      </x:c>
      <x:c r="C24" s="54" t="str">
        <x:v>A hard contact. Action, conflict, and heat works against growth, fortune, and patronage - obstruction, friction, and strained outcomes in these areas. The benefic Jupiter tempers the malefic Mars.</x:v>
      </x:c>
      <x:c r="D24" s="54" t="str">
        <x:v>Energy meets expansion. Strong drive, confidence, and enthusiasm, sometimes to the point of recklessness. Psychologically the opposition is inner tension to integrate: Shortened temper and patience, and energy scattered across one ill-considered pursuit after another. The growth is owning both sides instead of splitting them.</x:v>
      </x:c>
      <x:c r="E24" s="54" t="str">
        <x:v>Full (culmination)</x:v>
      </x:c>
      <x:c r="F24" s="54" t="str"/>
      <x:c r="G24" s="54" t="str"/>
      <x:c r="H24" s="54" t="str">
        <x:v>Friction in this area. Big drive and ambition; focus is what turns it into results rather than waste.</x:v>
      </x:c>
      <x:c r="I24" s="54" t="str">
        <x:v>Anger and recklessness collides with excess and overreach; forcing or splitting it instead of working it through.</x:v>
      </x:c>
      <x:c r="J24" s="54" t="str">
        <x:v>A confrontation builds; the other side comes fully into view.</x:v>
      </x:c>
      <x:c r="K24" s="54" t="str">
        <x:v>The standoff resolves into balance or a split.</x:v>
      </x:c>
      <x:c r="L24" s="54" t="str">
        <x:v>Energy meets expansion. Strong drive, confidence, and enthusiasm, sometimes to the point of recklessness. Psychologically the opposition is inner tension to integrate: Shortened temper and patience, and energy scattered across one ill-considered pursuit after another. The growth is owning both sides instead of splitting them.</x:v>
      </x:c>
      <x:c r="M24" s="54" t="str">
        <x:v>{
  "traditional": "classical and traditional sources",
  "modern": "modern aspect cookbook (psychological / popular register)",
  "cyclic": "humanistic / process-oriented source (cyclic model)"
}</x:v>
      </x:c>
      <x:c r="N24" s="54" t="str">
        <x:v>615a4eacc53af4413bcbb697b6c5fc3a2fff8399c60c48f1b26c4e5fa31daece</x:v>
      </x:c>
      <x:c r="O24" s="54" t="str">
        <x:v>packages/astro-knowledge/data/transits/mars-opposition-jupiter.json</x:v>
      </x:c>
    </x:row>
    <x:row r="25" ht="90" customHeight="1">
      <x:c r="A25" s="54" t="n">
        <x:v>23</x:v>
      </x:c>
      <x:c r="B25" s="54" t="str">
        <x:v>sky.mars.square.jupiter</x:v>
      </x:c>
      <x:c r="C25" s="54" t="str">
        <x:v>A hard contact. Action, conflict, and heat works against growth, fortune, and patronage - obstruction, friction, and strained outcomes in these areas. The benefic Jupiter tempers the malefic Mars.</x:v>
      </x:c>
      <x:c r="D25" s="54" t="str">
        <x:v>Energy meets expansion. Strong drive, confidence, and enthusiasm, sometimes to the point of recklessness. Psychologically the square is inner tension to integrate: Shortened temper and patience, and energy scattered across one ill-considered pursuit after another. The growth is owning both sides instead of splitting them.</x:v>
      </x:c>
      <x:c r="E25" s="54" t="str">
        <x:v>First / Last Quarter</x:v>
      </x:c>
      <x:c r="F25" s="54" t="str">
        <x:v>Crisis of action: take conscious hold and build a durable form for drive against growth, or be thrown off course.</x:v>
      </x:c>
      <x:c r="G25" s="54" t="str">
        <x:v>Crisis of meaning: break down the drive/growth form that has outlived its purpose and reorient toward the next cycle.</x:v>
      </x:c>
      <x:c r="H25" s="54" t="str">
        <x:v>Friction in this area. Big drive and ambition; focus is what turns it into results rather than waste.</x:v>
      </x:c>
      <x:c r="I25" s="54" t="str">
        <x:v>Anger and recklessness collides with excess and overreach; forcing or splitting it instead of working it through.</x:v>
      </x:c>
      <x:c r="J25" s="54" t="str">
        <x:v>Friction builds toward a forced adjustment.</x:v>
      </x:c>
      <x:c r="K25" s="54" t="str">
        <x:v>The crisis passes; what was restructured settles.</x:v>
      </x:c>
      <x:c r="L25" s="54" t="str">
        <x:v>Energy meets expansion. Strong drive, confidence, and enthusiasm, sometimes to the point of recklessness. Psychologically the square is inner tension to integrate: Shortened temper and patience, and energy scattered across one ill-considered pursuit after another. The growth is owning both sides instead of splitting them.</x:v>
      </x:c>
      <x:c r="M25" s="54" t="str">
        <x:v>{
  "traditional": "classical and traditional sources",
  "modern": "modern aspect cookbook (psychological / popular register)",
  "cyclic": "humanistic / process-oriented source (cyclic model)"
}</x:v>
      </x:c>
      <x:c r="N25" s="54" t="str">
        <x:v>766a590676dff86a9323379e926d8053e65654763b44f6e8fd7c3682d2e2270c</x:v>
      </x:c>
      <x:c r="O25" s="54" t="str">
        <x:v>packages/astro-knowledge/data/transits/mars-square-jupiter.json</x:v>
      </x:c>
    </x:row>
    <x:row r="26" ht="90" customHeight="1">
      <x:c r="A26" s="54" t="n">
        <x:v>24</x:v>
      </x:c>
      <x:c r="B26" s="54" t="str">
        <x:v>sky.mars.trine.jupiter</x:v>
      </x:c>
      <x:c r="C26" s="54" t="str">
        <x:v>A soft contact. Action, conflict, and heat supports growth, fortune, and patronage - cooperation and favorable conditions in these areas. The benefic Jupiter tempers the malefic Mars.</x:v>
      </x:c>
      <x:c r="D26" s="54" t="str">
        <x:v>Energy meets expansion. Strong drive, confidence, and enthusiasm, sometimes to the point of recklessness. The trine makes this a natural strength: High energy directed toward real accomplishment. The growth edge is not to coast on the ease.</x:v>
      </x:c>
      <x:c r="E26" s="54" t="str">
        <x:v>Waxing / waning trine</x:v>
      </x:c>
      <x:c r="F26" s="54" t="str">
        <x:v>Drive and growth flow together with ease; respond to the opportunity.</x:v>
      </x:c>
      <x:c r="G26" s="54" t="str">
        <x:v>Distribute and give transmissible form to what drive and growth have realized.</x:v>
      </x:c>
      <x:c r="H26" s="54" t="str">
        <x:v>An opening in this area. Big drive and ambition; focus is what turns it into results rather than waste.</x:v>
      </x:c>
      <x:c r="I26" s="54" t="str">
        <x:v>The ease lets anger and recklessness and excess and overreach go unchecked, or the opening pass unused.</x:v>
      </x:c>
      <x:c r="J26" s="54" t="str">
        <x:v>Ease and support build and arrive on their own.</x:v>
      </x:c>
      <x:c r="K26" s="54" t="str">
        <x:v>The ease withdraws; the flow passes, used or not.</x:v>
      </x:c>
      <x:c r="L26" s="54" t="str">
        <x:v>Energy meets expansion. Strong drive, confidence, and enthusiasm, sometimes to the point of recklessness. The trine makes this a natural strength: High energy directed toward real accomplishment. The growth edge is not to coast on the ease.</x:v>
      </x:c>
      <x:c r="M26" s="54" t="str">
        <x:v>{
  "traditional": "classical and traditional sources",
  "modern": "modern aspect cookbook (psychological / popular register)",
  "cyclic": "humanistic / process-oriented source (cyclic model)"
}</x:v>
      </x:c>
      <x:c r="N26" s="54" t="str">
        <x:v>947163486e704e008f11f9cd5c7d6b46bc2a62164b4bf95fed18d86809ba1fb1</x:v>
      </x:c>
      <x:c r="O26" s="54" t="str">
        <x:v>packages/astro-knowledge/data/transits/mars-trine-jupiter.json</x:v>
      </x:c>
    </x:row>
    <x:row r="27" ht="90" customHeight="1">
      <x:c r="A27" s="54" t="n">
        <x:v>25</x:v>
      </x:c>
      <x:c r="B27" s="54" t="str">
        <x:v>sky.mars.sextile.jupiter</x:v>
      </x:c>
      <x:c r="C27" s="54" t="str">
        <x:v>A soft contact. Action, conflict, and heat supports growth, fortune, and patronage - cooperation and favorable conditions in these areas. The benefic Jupiter tempers the malefic Mars.</x:v>
      </x:c>
      <x:c r="D27" s="54" t="str">
        <x:v>Energy meets expansion. Strong drive, confidence, and enthusiasm, sometimes to the point of recklessness. The sextile makes this a natural strength: High energy directed toward real accomplishment. The growth edge is not to coast on the ease.</x:v>
      </x:c>
      <x:c r="E27" s="54" t="str">
        <x:v>Waxing / waning sextile</x:v>
      </x:c>
      <x:c r="F27" s="54" t="str">
        <x:v>A chance to organize drive and growth into a new form; it must be actively taken up.</x:v>
      </x:c>
      <x:c r="G27" s="54" t="str">
        <x:v>Reorganize and share what drive and growth have taught; communicate the insight.</x:v>
      </x:c>
      <x:c r="H27" s="54" t="str">
        <x:v>An opening in this area. Big drive and ambition; focus is what turns it into results rather than waste.</x:v>
      </x:c>
      <x:c r="I27" s="54" t="str">
        <x:v>The ease lets anger and recklessness and excess and overreach go unchecked, or the opening pass unused.</x:v>
      </x:c>
      <x:c r="J27" s="54" t="str">
        <x:v>A supportive opening becomes available; offered, not automatic.</x:v>
      </x:c>
      <x:c r="K27" s="54" t="str">
        <x:v>The opening closes; unused, it passes.</x:v>
      </x:c>
      <x:c r="L27" s="54" t="str">
        <x:v>Energy meets expansion. Strong drive, confidence, and enthusiasm, sometimes to the point of recklessness. The sextile makes this a natural strength: High energy directed toward real accomplishment. The growth edge is not to coast on the ease.</x:v>
      </x:c>
      <x:c r="M27" s="54" t="str">
        <x:v>{
  "traditional": "classical and traditional sources",
  "modern": "modern aspect cookbook (psychological / popular register)",
  "cyclic": "humanistic / process-oriented source (cyclic model)"
}</x:v>
      </x:c>
      <x:c r="N27" s="54" t="str">
        <x:v>2d2f7da1751d4d89a146808ad085c6da0bf520cebf7d378f5ff48eb1c1124ef6</x:v>
      </x:c>
      <x:c r="O27" s="54" t="str">
        <x:v>packages/astro-knowledge/data/transits/mars-sextile-jupiter.json</x:v>
      </x:c>
    </x:row>
    <x:row r="28" ht="90" customHeight="1">
      <x:c r="A28" s="54" t="n">
        <x:v>26</x:v>
      </x:c>
      <x:c r="B28" s="54" t="str">
        <x:v>sky.mars.conjunction.neptune</x:v>
      </x:c>
      <x:c r="C28" s="54" t="str">
        <x:v>No classical doctrine: Neptune is a modern planet unknown to traditional astrology. Read from the modern and cyclic layers; treat this contact as a slow, generational background tone.</x:v>
      </x:c>
      <x:c r="D28" s="54" t="str">
        <x:v>Drive meets imagination. Energy steered by vision and a persuasive, magnetic pull. Fused, these drives are difficult to separate and ask to be consciously integrated rather than acted out blindly.</x:v>
      </x:c>
      <x:c r="E28" s="54" t="str">
        <x:v>New (seed)</x:v>
      </x:c>
      <x:c r="F28" s="54" t="str"/>
      <x:c r="G28" s="54" t="str"/>
      <x:c r="H28" s="54" t="str">
        <x:v>Concentrated focus in this area. Inspiring and persuasive; keep the aim concrete or the drive dissipates.</x:v>
      </x:c>
      <x:c r="I28" s="54" t="str">
        <x:v>Anger and recklessness fused with illusion and escapism, with no distance to tell them apart.</x:v>
      </x:c>
      <x:c r="J28" s="54" t="str">
        <x:v>The two fuse and intensify as they close in.</x:v>
      </x:c>
      <x:c r="K28" s="54" t="str">
        <x:v>The fused theme peaks and discharges.</x:v>
      </x:c>
      <x:c r="L28" s="54" t="str">
        <x:v>Drive meets imagination. Energy steered by vision and a persuasive, magnetic pull. Fused, these drives are difficult to separate and ask to be consciously integrated rather than acted out blindly.</x:v>
      </x:c>
      <x:c r="M28" s="54" t="str">
        <x:v>{
  "traditional": "classical and traditional sources",
  "modern": "modern aspect cookbook (psychological / popular register)",
  "cyclic": "humanistic / process-oriented source (cyclic model)"
}</x:v>
      </x:c>
      <x:c r="N28" s="54" t="str">
        <x:v>5bdac650b4038430e213431f60e0f469ac6bee9ca844b5cf858527fed18d8496</x:v>
      </x:c>
      <x:c r="O28" s="54" t="str">
        <x:v>packages/astro-knowledge/data/transits/mars-conjunction-neptune.json</x:v>
      </x:c>
    </x:row>
    <x:row r="29" ht="90" customHeight="1">
      <x:c r="A29" s="54" t="n">
        <x:v>27</x:v>
      </x:c>
      <x:c r="B29" s="54" t="str">
        <x:v>sky.mars.opposition.neptune</x:v>
      </x:c>
      <x:c r="C29" s="54" t="str">
        <x:v>No classical doctrine: Neptune is a modern planet unknown to traditional astrology. Read from the modern and cyclic layers; treat this contact as a slow, generational background tone.</x:v>
      </x:c>
      <x:c r="D29" s="54" t="str">
        <x:v>Drive meets imagination. Energy steered by vision and a persuasive, magnetic pull. Psychologically the opposition is inner tension to integrate: Misdirected effort: setting off one way and ending up another, with energy quietly draining away. The growth is owning both sides instead of splitting them.</x:v>
      </x:c>
      <x:c r="E29" s="54" t="str">
        <x:v>Full (culmination)</x:v>
      </x:c>
      <x:c r="F29" s="54" t="str"/>
      <x:c r="G29" s="54" t="str"/>
      <x:c r="H29" s="54" t="str">
        <x:v>Friction in this area. Inspiring and persuasive; keep the aim concrete or the drive dissipates.</x:v>
      </x:c>
      <x:c r="I29" s="54" t="str">
        <x:v>Anger and recklessness collides with illusion and escapism; forcing or splitting it instead of working it through.</x:v>
      </x:c>
      <x:c r="J29" s="54" t="str">
        <x:v>A confrontation builds; the other side comes fully into view.</x:v>
      </x:c>
      <x:c r="K29" s="54" t="str">
        <x:v>The standoff resolves into balance or a split.</x:v>
      </x:c>
      <x:c r="L29" s="54" t="str">
        <x:v>Drive meets imagination. Energy steered by vision and a persuasive, magnetic pull. Psychologically the opposition is inner tension to integrate: Misdirected effort: setting off one way and ending up another, with energy quietly draining away. The growth is owning both sides instead of splitting them.</x:v>
      </x:c>
      <x:c r="M29" s="54" t="str">
        <x:v>{
  "traditional": "classical and traditional sources",
  "modern": "modern aspect cookbook (psychological / popular register)",
  "cyclic": "humanistic / process-oriented source (cyclic model)"
}</x:v>
      </x:c>
      <x:c r="N29" s="54" t="str">
        <x:v>cd3c40375f5e98f91e3f4a3f31bf8f083f902c474ffafd541a791b57ca5fc2ee</x:v>
      </x:c>
      <x:c r="O29" s="54" t="str">
        <x:v>packages/astro-knowledge/data/transits/mars-opposition-neptune.json</x:v>
      </x:c>
    </x:row>
    <x:row r="30" ht="90" customHeight="1">
      <x:c r="A30" s="54" t="n">
        <x:v>28</x:v>
      </x:c>
      <x:c r="B30" s="54" t="str">
        <x:v>sky.mars.square.neptune</x:v>
      </x:c>
      <x:c r="C30" s="54" t="str">
        <x:v>No classical doctrine: Neptune is a modern planet unknown to traditional astrology. Read from the modern and cyclic layers; treat this contact as a slow, generational background tone.</x:v>
      </x:c>
      <x:c r="D30" s="54" t="str">
        <x:v>Drive meets imagination. Energy steered by vision and a persuasive, magnetic pull. Psychologically the square is inner tension to integrate: Misdirected effort: setting off one way and ending up another, with energy quietly draining away. The growth is owning both sides instead of splitting them.</x:v>
      </x:c>
      <x:c r="E30" s="54" t="str">
        <x:v>First / Last Quarter</x:v>
      </x:c>
      <x:c r="F30" s="54" t="str">
        <x:v>Crisis of action: take conscious hold and build a durable form for drive against imagination, or be thrown off course.</x:v>
      </x:c>
      <x:c r="G30" s="54" t="str">
        <x:v>Crisis of meaning: break down the drive/imagination form that has outlived its purpose and reorient toward the next cycle.</x:v>
      </x:c>
      <x:c r="H30" s="54" t="str">
        <x:v>Friction in this area. Inspiring and persuasive; keep the aim concrete or the drive dissipates.</x:v>
      </x:c>
      <x:c r="I30" s="54" t="str">
        <x:v>Anger and recklessness collides with illusion and escapism; forcing or splitting it instead of working it through.</x:v>
      </x:c>
      <x:c r="J30" s="54" t="str">
        <x:v>Friction builds toward a forced adjustment.</x:v>
      </x:c>
      <x:c r="K30" s="54" t="str">
        <x:v>The crisis passes; what was restructured settles.</x:v>
      </x:c>
      <x:c r="L30" s="54" t="str">
        <x:v>Drive meets imagination. Energy steered by vision and a persuasive, magnetic pull. Psychologically the square is inner tension to integrate: Misdirected effort: setting off one way and ending up another, with energy quietly draining away. The growth is owning both sides instead of splitting them.</x:v>
      </x:c>
      <x:c r="M30" s="54" t="str">
        <x:v>{
  "traditional": "classical and traditional sources",
  "modern": "modern aspect cookbook (psychological / popular register)",
  "cyclic": "humanistic / process-oriented source (cyclic model)"
}</x:v>
      </x:c>
      <x:c r="N30" s="54" t="str">
        <x:v>8c09d4cabe5282e2dbc39d3f2d6dfbb5ea8c2aa9463126b7b99d83a9af335b5b</x:v>
      </x:c>
      <x:c r="O30" s="54" t="str">
        <x:v>packages/astro-knowledge/data/transits/mars-square-neptune.json</x:v>
      </x:c>
    </x:row>
    <x:row r="31" ht="90" customHeight="1">
      <x:c r="A31" s="54" t="n">
        <x:v>29</x:v>
      </x:c>
      <x:c r="B31" s="54" t="str">
        <x:v>sky.mars.trine.neptune</x:v>
      </x:c>
      <x:c r="C31" s="54" t="str">
        <x:v>No classical doctrine: Neptune is a modern planet unknown to traditional astrology. Read from the modern and cyclic layers; treat this contact as a slow, generational background tone.</x:v>
      </x:c>
      <x:c r="D31" s="54" t="str">
        <x:v>Drive meets imagination. Energy steered by vision and a persuasive, magnetic pull. The trine makes this a natural strength: Charismatic motivation; action aligned with imagination. The growth edge is not to coast on the ease.</x:v>
      </x:c>
      <x:c r="E31" s="54" t="str">
        <x:v>Waxing / waning trine</x:v>
      </x:c>
      <x:c r="F31" s="54" t="str">
        <x:v>Drive and imagination flow together with ease; respond to the opportunity.</x:v>
      </x:c>
      <x:c r="G31" s="54" t="str">
        <x:v>Distribute and give transmissible form to what drive and imagination have realized.</x:v>
      </x:c>
      <x:c r="H31" s="54" t="str">
        <x:v>An opening in this area. Inspiring and persuasive; keep the aim concrete or the drive dissipates.</x:v>
      </x:c>
      <x:c r="I31" s="54" t="str">
        <x:v>The ease lets anger and recklessness and illusion and escapism go unchecked, or the opening pass unused.</x:v>
      </x:c>
      <x:c r="J31" s="54" t="str">
        <x:v>Ease and support build and arrive on their own.</x:v>
      </x:c>
      <x:c r="K31" s="54" t="str">
        <x:v>The ease withdraws; the flow passes, used or not.</x:v>
      </x:c>
      <x:c r="L31" s="54" t="str">
        <x:v>Drive meets imagination. Energy steered by vision and a persuasive, magnetic pull. The trine makes this a natural strength: Charismatic motivation; action aligned with imagination. The growth edge is not to coast on the ease.</x:v>
      </x:c>
      <x:c r="M31" s="54" t="str">
        <x:v>{
  "traditional": "classical and traditional sources",
  "modern": "modern aspect cookbook (psychological / popular register)",
  "cyclic": "humanistic / process-oriented source (cyclic model)"
}</x:v>
      </x:c>
      <x:c r="N31" s="54" t="str">
        <x:v>2b3b3c9e796ad64ae368f21119dd9b0b1dc426481b030c2829681bf37da9697a</x:v>
      </x:c>
      <x:c r="O31" s="54" t="str">
        <x:v>packages/astro-knowledge/data/transits/mars-trine-neptune.json</x:v>
      </x:c>
    </x:row>
    <x:row r="32" ht="90" customHeight="1">
      <x:c r="A32" s="54" t="n">
        <x:v>30</x:v>
      </x:c>
      <x:c r="B32" s="54" t="str">
        <x:v>sky.mars.sextile.neptune</x:v>
      </x:c>
      <x:c r="C32" s="54" t="str">
        <x:v>No classical doctrine: Neptune is a modern planet unknown to traditional astrology. Read from the modern and cyclic layers; treat this contact as a slow, generational background tone.</x:v>
      </x:c>
      <x:c r="D32" s="54" t="str">
        <x:v>Drive meets imagination. Energy steered by vision and a persuasive, magnetic pull. The sextile makes this a natural strength: Charismatic motivation; action aligned with imagination. The growth edge is not to coast on the ease.</x:v>
      </x:c>
      <x:c r="E32" s="54" t="str">
        <x:v>Waxing / waning sextile</x:v>
      </x:c>
      <x:c r="F32" s="54" t="str">
        <x:v>A chance to organize drive and imagination into a new form; it must be actively taken up.</x:v>
      </x:c>
      <x:c r="G32" s="54" t="str">
        <x:v>Reorganize and share what drive and imagination have taught; communicate the insight.</x:v>
      </x:c>
      <x:c r="H32" s="54" t="str">
        <x:v>An opening in this area. Inspiring and persuasive; keep the aim concrete or the drive dissipates.</x:v>
      </x:c>
      <x:c r="I32" s="54" t="str">
        <x:v>The ease lets anger and recklessness and illusion and escapism go unchecked, or the opening pass unused.</x:v>
      </x:c>
      <x:c r="J32" s="54" t="str">
        <x:v>A supportive opening becomes available; offered, not automatic.</x:v>
      </x:c>
      <x:c r="K32" s="54" t="str">
        <x:v>The opening closes; unused, it passes.</x:v>
      </x:c>
      <x:c r="L32" s="54" t="str">
        <x:v>Drive meets imagination. Energy steered by vision and a persuasive, magnetic pull. The sextile makes this a natural strength: Charismatic motivation; action aligned with imagination. The growth edge is not to coast on the ease.</x:v>
      </x:c>
      <x:c r="M32" s="54" t="str">
        <x:v>{
  "traditional": "classical and traditional sources",
  "modern": "modern aspect cookbook (psychological / popular register)",
  "cyclic": "humanistic / process-oriented source (cyclic model)"
}</x:v>
      </x:c>
      <x:c r="N32" s="54" t="str">
        <x:v>15b0f1f7810aa6d0fe39557d697ab0ea9c04f920715d26206bd0e9f744b9b34f</x:v>
      </x:c>
      <x:c r="O32" s="54" t="str">
        <x:v>packages/astro-knowledge/data/transits/mars-sextile-neptune.json</x:v>
      </x:c>
    </x:row>
    <x:row r="33" ht="90" customHeight="1">
      <x:c r="A33" s="54" t="n">
        <x:v>31</x:v>
      </x:c>
      <x:c r="B33" s="54" t="str">
        <x:v>sky.mars.conjunction.pluto</x:v>
      </x:c>
      <x:c r="C33" s="54" t="str">
        <x:v>No classical doctrine: Pluto is a modern planet unknown to traditional astrology. Read from the modern and cyclic layers; treat this contact as a slow, generational background tone.</x:v>
      </x:c>
      <x:c r="D33" s="54" t="str">
        <x:v>Drive meets power. Relentless force and a 'win at any cost' edge, with real capacity to eliminate or transform. Fused, these drives are difficult to separate and ask to be consciously integrated rather than acted out blindly.</x:v>
      </x:c>
      <x:c r="E33" s="54" t="str">
        <x:v>New (seed)</x:v>
      </x:c>
      <x:c r="F33" s="54" t="str"/>
      <x:c r="G33" s="54" t="str"/>
      <x:c r="H33" s="54" t="str">
        <x:v>Concentrated focus in this area. Formidable drive; temper and overkill are the dangers.</x:v>
      </x:c>
      <x:c r="I33" s="54" t="str">
        <x:v>Anger and recklessness fused with control and obsession, with no distance to tell them apart.</x:v>
      </x:c>
      <x:c r="J33" s="54" t="str">
        <x:v>The two fuse and intensify as they close in.</x:v>
      </x:c>
      <x:c r="K33" s="54" t="str">
        <x:v>The fused theme peaks and discharges.</x:v>
      </x:c>
      <x:c r="L33" s="54" t="str">
        <x:v>Drive meets power. Relentless force and a 'win at any cost' edge, with real capacity to eliminate or transform. Fused, these drives are difficult to separate and ask to be consciously integrated rather than acted out blindly.</x:v>
      </x:c>
      <x:c r="M33" s="54" t="str">
        <x:v>{
  "traditional": "classical and traditional sources",
  "modern": "modern aspect cookbook (psychological / popular register)",
  "cyclic": "humanistic / process-oriented source (cyclic model)"
}</x:v>
      </x:c>
      <x:c r="N33" s="54" t="str">
        <x:v>476e6ed6f3c117f7723b9cdce76b03d355f3684268af36b1dd5db47e9ba0d507</x:v>
      </x:c>
      <x:c r="O33" s="54" t="str">
        <x:v>packages/astro-knowledge/data/transits/mars-conjunction-pluto.json</x:v>
      </x:c>
    </x:row>
    <x:row r="34" ht="90" customHeight="1">
      <x:c r="A34" s="54" t="n">
        <x:v>32</x:v>
      </x:c>
      <x:c r="B34" s="54" t="str">
        <x:v>sky.mars.opposition.pluto</x:v>
      </x:c>
      <x:c r="C34" s="54" t="str">
        <x:v>No classical doctrine: Pluto is a modern planet unknown to traditional astrology. Read from the modern and cyclic layers; treat this contact as a slow, generational background tone.</x:v>
      </x:c>
      <x:c r="D34" s="54" t="str">
        <x:v>Drive meets power. Relentless force and a 'win at any cost' edge, with real capacity to eliminate or transform. Psychologically the opposition is inner tension to integrate: Volcanic temper and a tendency to destroy work before it's finished. The growth is owning both sides instead of splitting them.</x:v>
      </x:c>
      <x:c r="E34" s="54" t="str">
        <x:v>Full (culmination)</x:v>
      </x:c>
      <x:c r="F34" s="54" t="str"/>
      <x:c r="G34" s="54" t="str"/>
      <x:c r="H34" s="54" t="str">
        <x:v>Friction in this area. Formidable drive; temper and overkill are the dangers.</x:v>
      </x:c>
      <x:c r="I34" s="54" t="str">
        <x:v>Anger and recklessness collides with control and obsession; forcing or splitting it instead of working it through.</x:v>
      </x:c>
      <x:c r="J34" s="54" t="str">
        <x:v>A confrontation builds; the other side comes fully into view.</x:v>
      </x:c>
      <x:c r="K34" s="54" t="str">
        <x:v>The standoff resolves into balance or a split.</x:v>
      </x:c>
      <x:c r="L34" s="54" t="str">
        <x:v>Drive meets power. Relentless force and a 'win at any cost' edge, with real capacity to eliminate or transform. Psychologically the opposition is inner tension to integrate: Volcanic temper and a tendency to destroy work before it's finished. The growth is owning both sides instead of splitting them.</x:v>
      </x:c>
      <x:c r="M34" s="54" t="str">
        <x:v>{
  "traditional": "classical and traditional sources",
  "modern": "modern aspect cookbook (psychological / popular register)",
  "cyclic": "humanistic / process-oriented source (cyclic model)"
}</x:v>
      </x:c>
      <x:c r="N34" s="54" t="str">
        <x:v>02c02394c38d3f18b05c92359160147dcc3de29f22f53a2be713328406d7c8a7</x:v>
      </x:c>
      <x:c r="O34" s="54" t="str">
        <x:v>packages/astro-knowledge/data/transits/mars-opposition-pluto.json</x:v>
      </x:c>
    </x:row>
    <x:row r="35" ht="90" customHeight="1">
      <x:c r="A35" s="54" t="n">
        <x:v>33</x:v>
      </x:c>
      <x:c r="B35" s="54" t="str">
        <x:v>sky.mars.square.pluto</x:v>
      </x:c>
      <x:c r="C35" s="54" t="str">
        <x:v>No classical doctrine: Pluto is a modern planet unknown to traditional astrology. Read from the modern and cyclic layers; treat this contact as a slow, generational background tone.</x:v>
      </x:c>
      <x:c r="D35" s="54" t="str">
        <x:v>Drive meets power. Relentless force and a 'win at any cost' edge, with real capacity to eliminate or transform. Psychologically the square is inner tension to integrate: Volcanic temper and a tendency to destroy work before it's finished. The growth is owning both sides instead of splitting them.</x:v>
      </x:c>
      <x:c r="E35" s="54" t="str">
        <x:v>First / Last Quarter</x:v>
      </x:c>
      <x:c r="F35" s="54" t="str">
        <x:v>Crisis of action: take conscious hold and build a durable form for drive against power, or be thrown off course.</x:v>
      </x:c>
      <x:c r="G35" s="54" t="str">
        <x:v>Crisis of meaning: break down the drive/power form that has outlived its purpose and reorient toward the next cycle.</x:v>
      </x:c>
      <x:c r="H35" s="54" t="str">
        <x:v>Friction in this area. Formidable drive; temper and overkill are the dangers.</x:v>
      </x:c>
      <x:c r="I35" s="54" t="str">
        <x:v>Anger and recklessness collides with control and obsession; forcing or splitting it instead of working it through.</x:v>
      </x:c>
      <x:c r="J35" s="54" t="str">
        <x:v>Friction builds toward a forced adjustment.</x:v>
      </x:c>
      <x:c r="K35" s="54" t="str">
        <x:v>The crisis passes; what was restructured settles.</x:v>
      </x:c>
      <x:c r="L35" s="54" t="str">
        <x:v>Drive meets power. Relentless force and a 'win at any cost' edge, with real capacity to eliminate or transform. Psychologically the square is inner tension to integrate: Volcanic temper and a tendency to destroy work before it's finished. The growth is owning both sides instead of splitting them.</x:v>
      </x:c>
      <x:c r="M35" s="54" t="str">
        <x:v>{
  "traditional": "classical and traditional sources",
  "modern": "modern aspect cookbook (psychological / popular register)",
  "cyclic": "humanistic / process-oriented source (cyclic model)"
}</x:v>
      </x:c>
      <x:c r="N35" s="54" t="str">
        <x:v>b2b2d9d22ff2d62634f31ce0f04831f7dfe2ae25b54e6b9fbab312337f0d0f60</x:v>
      </x:c>
      <x:c r="O35" s="54" t="str">
        <x:v>packages/astro-knowledge/data/transits/mars-square-pluto.json</x:v>
      </x:c>
    </x:row>
    <x:row r="36" ht="90" customHeight="1">
      <x:c r="A36" s="54" t="n">
        <x:v>34</x:v>
      </x:c>
      <x:c r="B36" s="54" t="str">
        <x:v>sky.mars.trine.pluto</x:v>
      </x:c>
      <x:c r="C36" s="54" t="str">
        <x:v>No classical doctrine: Pluto is a modern planet unknown to traditional astrology. Read from the modern and cyclic layers; treat this contact as a slow, generational background tone.</x:v>
      </x:c>
      <x:c r="D36" s="54" t="str">
        <x:v>Drive meets power. Relentless force and a 'win at any cost' edge, with real capacity to eliminate or transform. The trine makes this a natural strength: Strength and stamina without the strain. The growth edge is not to coast on the ease.</x:v>
      </x:c>
      <x:c r="E36" s="54" t="str">
        <x:v>Waxing / waning trine</x:v>
      </x:c>
      <x:c r="F36" s="54" t="str">
        <x:v>Drive and power flow together with ease; respond to the opportunity.</x:v>
      </x:c>
      <x:c r="G36" s="54" t="str">
        <x:v>Distribute and give transmissible form to what drive and power have realized.</x:v>
      </x:c>
      <x:c r="H36" s="54" t="str">
        <x:v>An opening in this area. Formidable drive; temper and overkill are the dangers.</x:v>
      </x:c>
      <x:c r="I36" s="54" t="str">
        <x:v>The ease lets anger and recklessness and control and obsession go unchecked, or the opening pass unused.</x:v>
      </x:c>
      <x:c r="J36" s="54" t="str">
        <x:v>Ease and support build and arrive on their own.</x:v>
      </x:c>
      <x:c r="K36" s="54" t="str">
        <x:v>The ease withdraws; the flow passes, used or not.</x:v>
      </x:c>
      <x:c r="L36" s="54" t="str">
        <x:v>Drive meets power. Relentless force and a 'win at any cost' edge, with real capacity to eliminate or transform. The trine makes this a natural strength: Strength and stamina without the strain. The growth edge is not to coast on the ease.</x:v>
      </x:c>
      <x:c r="M36" s="54" t="str">
        <x:v>{
  "traditional": "classical and traditional sources",
  "modern": "modern aspect cookbook (psychological / popular register)",
  "cyclic": "humanistic / process-oriented source (cyclic model)"
}</x:v>
      </x:c>
      <x:c r="N36" s="54" t="str">
        <x:v>d650d2bf5ea3e5debe8a6ad6b98a2b98d643aedeb6afe5f024bba6673363534e</x:v>
      </x:c>
      <x:c r="O36" s="54" t="str">
        <x:v>packages/astro-knowledge/data/transits/mars-trine-pluto.json</x:v>
      </x:c>
    </x:row>
    <x:row r="37" ht="90" customHeight="1">
      <x:c r="A37" s="54" t="n">
        <x:v>35</x:v>
      </x:c>
      <x:c r="B37" s="54" t="str">
        <x:v>sky.mars.sextile.pluto</x:v>
      </x:c>
      <x:c r="C37" s="54" t="str">
        <x:v>No classical doctrine: Pluto is a modern planet unknown to traditional astrology. Read from the modern and cyclic layers; treat this contact as a slow, generational background tone.</x:v>
      </x:c>
      <x:c r="D37" s="54" t="str">
        <x:v>Drive meets power. Relentless force and a 'win at any cost' edge, with real capacity to eliminate or transform. The sextile makes this a natural strength: Strength and stamina without the strain. The growth edge is not to coast on the ease.</x:v>
      </x:c>
      <x:c r="E37" s="54" t="str">
        <x:v>Waxing / waning sextile</x:v>
      </x:c>
      <x:c r="F37" s="54" t="str">
        <x:v>A chance to organize drive and power into a new form; it must be actively taken up.</x:v>
      </x:c>
      <x:c r="G37" s="54" t="str">
        <x:v>Reorganize and share what drive and power have taught; communicate the insight.</x:v>
      </x:c>
      <x:c r="H37" s="54" t="str">
        <x:v>An opening in this area. Formidable drive; temper and overkill are the dangers.</x:v>
      </x:c>
      <x:c r="I37" s="54" t="str">
        <x:v>The ease lets anger and recklessness and control and obsession go unchecked, or the opening pass unused.</x:v>
      </x:c>
      <x:c r="J37" s="54" t="str">
        <x:v>A supportive opening becomes available; offered, not automatic.</x:v>
      </x:c>
      <x:c r="K37" s="54" t="str">
        <x:v>The opening closes; unused, it passes.</x:v>
      </x:c>
      <x:c r="L37" s="54" t="str">
        <x:v>Drive meets power. Relentless force and a 'win at any cost' edge, with real capacity to eliminate or transform. The sextile makes this a natural strength: Strength and stamina without the strain. The growth edge is not to coast on the ease.</x:v>
      </x:c>
      <x:c r="M37" s="54" t="str">
        <x:v>{
  "traditional": "classical and traditional sources",
  "modern": "modern aspect cookbook (psychological / popular register)",
  "cyclic": "humanistic / process-oriented source (cyclic model)"
}</x:v>
      </x:c>
      <x:c r="N37" s="54" t="str">
        <x:v>a254aafc2a95fb8bf8cd6989cb88867b08fd3aa30792d96f4b0e5d18b2ccac73</x:v>
      </x:c>
      <x:c r="O37" s="54" t="str">
        <x:v>packages/astro-knowledge/data/transits/mars-sextile-pluto.json</x:v>
      </x:c>
    </x:row>
    <x:row r="38" ht="90" customHeight="1">
      <x:c r="A38" s="54" t="n">
        <x:v>36</x:v>
      </x:c>
      <x:c r="B38" s="54" t="str">
        <x:v>sky.mars.conjunction.saturn</x:v>
      </x:c>
      <x:c r="C38" s="54" t="str">
        <x:v>Action, conflict, and heat fused with limitation, delay, and hard structure. The two act as one and the combined significations are hard to separate. Two malefics, eased by the soft angle, but still demanding.</x:v>
      </x:c>
      <x:c r="D38" s="54" t="str">
        <x:v>Drive meets limit. Disciplined endurance and the ability to pace yourself and keep going long after others quit. Fused, these drives are difficult to separate and ask to be consciously integrated rather than acted out blindly.</x:v>
      </x:c>
      <x:c r="E38" s="54" t="str">
        <x:v>New (seed)</x:v>
      </x:c>
      <x:c r="F38" s="54" t="str"/>
      <x:c r="G38" s="54" t="str"/>
      <x:c r="H38" s="54" t="str">
        <x:v>Concentrated focus in this area. Endurance and discipline; the friction is the constant start-stop of push against restraint.</x:v>
      </x:c>
      <x:c r="I38" s="54" t="str">
        <x:v>Anger and recklessness fused with fear and rigidity, with no distance to tell them apart.</x:v>
      </x:c>
      <x:c r="J38" s="54" t="str">
        <x:v>The two fuse and intensify as they close in.</x:v>
      </x:c>
      <x:c r="K38" s="54" t="str">
        <x:v>The fused theme peaks and discharges.</x:v>
      </x:c>
      <x:c r="L38" s="54" t="str">
        <x:v>Drive meets limit. Disciplined endurance and the ability to pace yourself and keep going long after others quit. Fused, these drives are difficult to separate and ask to be consciously integrated rather than acted out blindly.</x:v>
      </x:c>
      <x:c r="M38" s="54" t="str">
        <x:v>{
  "traditional": "classical and traditional sources",
  "modern": "modern aspect cookbook (psychological / popular register)",
  "cyclic": "humanistic / process-oriented source (cyclic model)"
}</x:v>
      </x:c>
      <x:c r="N38" s="54" t="str">
        <x:v>58ccd0b755289024fc42e57426c6450933a88e61229f29d130a1c30961919c8c</x:v>
      </x:c>
      <x:c r="O38" s="54" t="str">
        <x:v>packages/astro-knowledge/data/transits/mars-conjunction-saturn.json</x:v>
      </x:c>
    </x:row>
    <x:row r="39" ht="90" customHeight="1">
      <x:c r="A39" s="54" t="n">
        <x:v>37</x:v>
      </x:c>
      <x:c r="B39" s="54" t="str">
        <x:v>sky.mars.opposition.saturn</x:v>
      </x:c>
      <x:c r="C39" s="54" t="str">
        <x:v>A hard contact. Action, conflict, and heat works against limitation, delay, and hard structure - obstruction, friction, and strained outcomes in these areas. Two malefics in a hard aspect: handle with care, and worse when either is out of sect.</x:v>
      </x:c>
      <x:c r="D39" s="54" t="str">
        <x:v>Drive meets limit. Disciplined endurance and the ability to pace yourself and keep going long after others quit. Psychologically the opposition is inner tension to integrate: Gas and brake at once: jerky, stop-start progress, frustration, and a need to avoid burning bridges in case of retreat. The growth is owning both sides instead of splitting them.</x:v>
      </x:c>
      <x:c r="E39" s="54" t="str">
        <x:v>Full (culmination)</x:v>
      </x:c>
      <x:c r="F39" s="54" t="str"/>
      <x:c r="G39" s="54" t="str"/>
      <x:c r="H39" s="54" t="str">
        <x:v>Friction in this area. Endurance and discipline; the friction is the constant start-stop of push against restraint.</x:v>
      </x:c>
      <x:c r="I39" s="54" t="str">
        <x:v>Anger and recklessness collides with fear and rigidity; forcing or splitting it instead of working it through.</x:v>
      </x:c>
      <x:c r="J39" s="54" t="str">
        <x:v>A confrontation builds; the other side comes fully into view.</x:v>
      </x:c>
      <x:c r="K39" s="54" t="str">
        <x:v>The standoff resolves into balance or a split.</x:v>
      </x:c>
      <x:c r="L39" s="54" t="str">
        <x:v>Drive meets limit. Disciplined endurance and the ability to pace yourself and keep going long after others quit. Psychologically the opposition is inner tension to integrate: Gas and brake at once: jerky, stop-start progress, frustration, and a need to avoid burning bridges in case of retreat. The growth is owning both sides instead of splitting them.</x:v>
      </x:c>
      <x:c r="M39" s="54" t="str">
        <x:v>{
  "traditional": "classical and traditional sources",
  "modern": "modern aspect cookbook (psychological / popular register)",
  "cyclic": "humanistic / process-oriented source (cyclic model)"
}</x:v>
      </x:c>
      <x:c r="N39" s="54" t="str">
        <x:v>722a97abc881489c384623ad44dc4bc7c518382c2754a2bdd32c011d71126249</x:v>
      </x:c>
      <x:c r="O39" s="54" t="str">
        <x:v>packages/astro-knowledge/data/transits/mars-opposition-saturn.json</x:v>
      </x:c>
    </x:row>
    <x:row r="40" ht="90" customHeight="1">
      <x:c r="A40" s="54" t="n">
        <x:v>38</x:v>
      </x:c>
      <x:c r="B40" s="54" t="str">
        <x:v>sky.mars.square.saturn</x:v>
      </x:c>
      <x:c r="C40" s="54" t="str">
        <x:v>A hard contact. Action, conflict, and heat works against limitation, delay, and hard structure - obstruction, friction, and strained outcomes in these areas. Two malefics in a hard aspect: handle with care, and worse when either is out of sect.</x:v>
      </x:c>
      <x:c r="D40" s="54" t="str">
        <x:v>Drive meets limit. Disciplined endurance and the ability to pace yourself and keep going long after others quit. Psychologically the square is inner tension to integrate: Gas and brake at once: jerky, stop-start progress, frustration, and a need to avoid burning bridges in case of retreat. The growth is owning both sides instead of splitting them.</x:v>
      </x:c>
      <x:c r="E40" s="54" t="str">
        <x:v>First / Last Quarter</x:v>
      </x:c>
      <x:c r="F40" s="54" t="str">
        <x:v>Crisis of action: take conscious hold and build a durable form for drive against limit, or be thrown off course.</x:v>
      </x:c>
      <x:c r="G40" s="54" t="str">
        <x:v>Crisis of meaning: break down the drive/limit form that has outlived its purpose and reorient toward the next cycle.</x:v>
      </x:c>
      <x:c r="H40" s="54" t="str">
        <x:v>Friction in this area. Endurance and discipline; the friction is the constant start-stop of push against restraint.</x:v>
      </x:c>
      <x:c r="I40" s="54" t="str">
        <x:v>Anger and recklessness collides with fear and rigidity; forcing or splitting it instead of working it through.</x:v>
      </x:c>
      <x:c r="J40" s="54" t="str">
        <x:v>Friction builds toward a forced adjustment.</x:v>
      </x:c>
      <x:c r="K40" s="54" t="str">
        <x:v>The crisis passes; what was restructured settles.</x:v>
      </x:c>
      <x:c r="L40" s="54" t="str">
        <x:v>Drive meets limit. Disciplined endurance and the ability to pace yourself and keep going long after others quit. Psychologically the square is inner tension to integrate: Gas and brake at once: jerky, stop-start progress, frustration, and a need to avoid burning bridges in case of retreat. The growth is owning both sides instead of splitting them.</x:v>
      </x:c>
      <x:c r="M40" s="54" t="str">
        <x:v>{
  "traditional": "classical and traditional sources",
  "modern": "modern aspect cookbook (psychological / popular register)",
  "cyclic": "humanistic / process-oriented source (cyclic model)"
}</x:v>
      </x:c>
      <x:c r="N40" s="54" t="str">
        <x:v>e358d4a7e0307dd184805922df411688cc0f9bb786596e8fbcec4dd0ce74eb4e</x:v>
      </x:c>
      <x:c r="O40" s="54" t="str">
        <x:v>packages/astro-knowledge/data/transits/mars-square-saturn.json</x:v>
      </x:c>
    </x:row>
    <x:row r="41" ht="90" customHeight="1">
      <x:c r="A41" s="54" t="n">
        <x:v>39</x:v>
      </x:c>
      <x:c r="B41" s="54" t="str">
        <x:v>sky.mars.trine.saturn</x:v>
      </x:c>
      <x:c r="C41" s="54" t="str">
        <x:v>A soft contact. Action, conflict, and heat supports limitation, delay, and hard structure - cooperation and favorable conditions in these areas. Two malefics, eased by the soft angle, but still demanding.</x:v>
      </x:c>
      <x:c r="D41" s="54" t="str">
        <x:v>Drive meets limit. Disciplined endurance and the ability to pace yourself and keep going long after others quit. The trine makes this a natural strength: Stamina and controlled, sustained effort. The growth edge is not to coast on the ease.</x:v>
      </x:c>
      <x:c r="E41" s="54" t="str">
        <x:v>Waxing / waning trine</x:v>
      </x:c>
      <x:c r="F41" s="54" t="str">
        <x:v>Drive and limit flow together with ease; respond to the opportunity.</x:v>
      </x:c>
      <x:c r="G41" s="54" t="str">
        <x:v>Distribute and give transmissible form to what drive and limit have realized.</x:v>
      </x:c>
      <x:c r="H41" s="54" t="str">
        <x:v>An opening in this area. Endurance and discipline; the friction is the constant start-stop of push against restraint.</x:v>
      </x:c>
      <x:c r="I41" s="54" t="str">
        <x:v>The ease lets anger and recklessness and fear and rigidity go unchecked, or the opening pass unused.</x:v>
      </x:c>
      <x:c r="J41" s="54" t="str">
        <x:v>Ease and support build and arrive on their own.</x:v>
      </x:c>
      <x:c r="K41" s="54" t="str">
        <x:v>The ease withdraws; the flow passes, used or not.</x:v>
      </x:c>
      <x:c r="L41" s="54" t="str">
        <x:v>Drive meets limit. Disciplined endurance and the ability to pace yourself and keep going long after others quit. The trine makes this a natural strength: Stamina and controlled, sustained effort. The growth edge is not to coast on the ease.</x:v>
      </x:c>
      <x:c r="M41" s="54" t="str">
        <x:v>{
  "traditional": "classical and traditional sources",
  "modern": "modern aspect cookbook (psychological / popular register)",
  "cyclic": "humanistic / process-oriented source (cyclic model)"
}</x:v>
      </x:c>
      <x:c r="N41" s="54" t="str">
        <x:v>ba74095eaad1c0b9e1f6450e746a764ba70f79ee7f961ef839fd89c33582ffed</x:v>
      </x:c>
      <x:c r="O41" s="54" t="str">
        <x:v>packages/astro-knowledge/data/transits/mars-trine-saturn.json</x:v>
      </x:c>
    </x:row>
    <x:row r="42" ht="90" customHeight="1">
      <x:c r="A42" s="54" t="n">
        <x:v>40</x:v>
      </x:c>
      <x:c r="B42" s="54" t="str">
        <x:v>sky.mars.sextile.saturn</x:v>
      </x:c>
      <x:c r="C42" s="54" t="str">
        <x:v>A soft contact. Action, conflict, and heat supports limitation, delay, and hard structure - cooperation and favorable conditions in these areas. Two malefics, eased by the soft angle, but still demanding.</x:v>
      </x:c>
      <x:c r="D42" s="54" t="str">
        <x:v>Drive meets limit. Disciplined endurance and the ability to pace yourself and keep going long after others quit. The sextile makes this a natural strength: Stamina and controlled, sustained effort. The growth edge is not to coast on the ease.</x:v>
      </x:c>
      <x:c r="E42" s="54" t="str">
        <x:v>Waxing / waning sextile</x:v>
      </x:c>
      <x:c r="F42" s="54" t="str">
        <x:v>A chance to organize drive and limit into a new form; it must be actively taken up.</x:v>
      </x:c>
      <x:c r="G42" s="54" t="str">
        <x:v>Reorganize and share what drive and limit have taught; communicate the insight.</x:v>
      </x:c>
      <x:c r="H42" s="54" t="str">
        <x:v>An opening in this area. Endurance and discipline; the friction is the constant start-stop of push against restraint.</x:v>
      </x:c>
      <x:c r="I42" s="54" t="str">
        <x:v>The ease lets anger and recklessness and fear and rigidity go unchecked, or the opening pass unused.</x:v>
      </x:c>
      <x:c r="J42" s="54" t="str">
        <x:v>A supportive opening becomes available; offered, not automatic.</x:v>
      </x:c>
      <x:c r="K42" s="54" t="str">
        <x:v>The opening closes; unused, it passes.</x:v>
      </x:c>
      <x:c r="L42" s="54" t="str">
        <x:v>Drive meets limit. Disciplined endurance and the ability to pace yourself and keep going long after others quit. The sextile makes this a natural strength: Stamina and controlled, sustained effort. The growth edge is not to coast on the ease.</x:v>
      </x:c>
      <x:c r="M42" s="54" t="str">
        <x:v>{
  "traditional": "classical and traditional sources",
  "modern": "modern aspect cookbook (psychological / popular register)",
  "cyclic": "humanistic / process-oriented source (cyclic model)"
}</x:v>
      </x:c>
      <x:c r="N42" s="54" t="str">
        <x:v>1aebf2a9be025cffb0d25efa096e52877576fec06a099af3fa63e69d6c5b4410</x:v>
      </x:c>
      <x:c r="O42" s="54" t="str">
        <x:v>packages/astro-knowledge/data/transits/mars-sextile-saturn.json</x:v>
      </x:c>
    </x:row>
    <x:row r="43" ht="90" customHeight="1">
      <x:c r="A43" s="54" t="n">
        <x:v>41</x:v>
      </x:c>
      <x:c r="B43" s="54" t="str">
        <x:v>sky.mars.conjunction.uranus</x:v>
      </x:c>
      <x:c r="C43" s="54" t="str">
        <x:v>No classical doctrine: Uranus is a modern planet unknown to traditional astrology. Read from the modern and cyclic layers; treat this contact as a slow, generational background tone.</x:v>
      </x:c>
      <x:c r="D43" s="54" t="str">
        <x:v>Action meets disruption. Impulsive, risk-taking, rebellious energy, with impatience and a pull toward technology. Fused, these drives are difficult to separate and ask to be consciously integrated rather than acted out blindly.</x:v>
      </x:c>
      <x:c r="E43" s="54" t="str">
        <x:v>New (seed)</x:v>
      </x:c>
      <x:c r="F43" s="54" t="str"/>
      <x:c r="G43" s="54" t="str"/>
      <x:c r="H43" s="54" t="str">
        <x:v>Concentrated focus in this area. Innovative and fast; the cost is recklessness and volatility.</x:v>
      </x:c>
      <x:c r="I43" s="54" t="str">
        <x:v>Anger and recklessness fused with instability for its own sake, with no distance to tell them apart.</x:v>
      </x:c>
      <x:c r="J43" s="54" t="str">
        <x:v>The two fuse and intensify as they close in.</x:v>
      </x:c>
      <x:c r="K43" s="54" t="str">
        <x:v>The fused theme peaks and discharges.</x:v>
      </x:c>
      <x:c r="L43" s="54" t="str">
        <x:v>Action meets disruption. Impulsive, risk-taking, rebellious energy, with impatience and a pull toward technology. Fused, these drives are difficult to separate and ask to be consciously integrated rather than acted out blindly.</x:v>
      </x:c>
      <x:c r="M43" s="54" t="str">
        <x:v>{
  "traditional": "classical and traditional sources",
  "modern": "modern aspect cookbook (psychological / popular register)",
  "cyclic": "humanistic / process-oriented source (cyclic model)"
}</x:v>
      </x:c>
      <x:c r="N43" s="54" t="str">
        <x:v>b73d4a35e8d587c9586724b19b4694fb44a45c5fd4cd8dbc1e924674dd70fee2</x:v>
      </x:c>
      <x:c r="O43" s="54" t="str">
        <x:v>packages/astro-knowledge/data/transits/mars-conjunction-uranus.json</x:v>
      </x:c>
    </x:row>
    <x:row r="44" ht="90" customHeight="1">
      <x:c r="A44" s="54" t="n">
        <x:v>42</x:v>
      </x:c>
      <x:c r="B44" s="54" t="str">
        <x:v>sky.mars.opposition.uranus</x:v>
      </x:c>
      <x:c r="C44" s="54" t="str">
        <x:v>No classical doctrine: Uranus is a modern planet unknown to traditional astrology. Read from the modern and cyclic layers; treat this contact as a slow, generational background tone.</x:v>
      </x:c>
      <x:c r="D44" s="54" t="str">
        <x:v>Action meets disruption. Impulsive, risk-taking, rebellious energy, with impatience and a pull toward technology. Psychologically the opposition is inner tension to integrate: Accident-proneness, a temper that goes off like a shot, and unpredictable tactics that either win big or backfire fast. The growth is owning both sides instead of splitting them.</x:v>
      </x:c>
      <x:c r="E44" s="54" t="str">
        <x:v>Full (culmination)</x:v>
      </x:c>
      <x:c r="F44" s="54" t="str"/>
      <x:c r="G44" s="54" t="str"/>
      <x:c r="H44" s="54" t="str">
        <x:v>Friction in this area. Innovative and fast; the cost is recklessness and volatility.</x:v>
      </x:c>
      <x:c r="I44" s="54" t="str">
        <x:v>Anger and recklessness collides with instability for its own sake; forcing or splitting it instead of working it through.</x:v>
      </x:c>
      <x:c r="J44" s="54" t="str">
        <x:v>A confrontation builds; the other side comes fully into view.</x:v>
      </x:c>
      <x:c r="K44" s="54" t="str">
        <x:v>The standoff resolves into balance or a split.</x:v>
      </x:c>
      <x:c r="L44" s="54" t="str">
        <x:v>Action meets disruption. Impulsive, risk-taking, rebellious energy, with impatience and a pull toward technology. Psychologically the opposition is inner tension to integrate: Accident-proneness, a temper that goes off like a shot, and unpredictable tactics that either win big or backfire fast. The growth is owning both sides instead of splitting them.</x:v>
      </x:c>
      <x:c r="M44" s="54" t="str">
        <x:v>{
  "traditional": "classical and traditional sources",
  "modern": "modern aspect cookbook (psychological / popular register)",
  "cyclic": "humanistic / process-oriented source (cyclic model)"
}</x:v>
      </x:c>
      <x:c r="N44" s="54" t="str">
        <x:v>63f085d10e637eef714de4ea2945deff85ef4a53be4cb3acfb421e95f4374b49</x:v>
      </x:c>
      <x:c r="O44" s="54" t="str">
        <x:v>packages/astro-knowledge/data/transits/mars-opposition-uranus.json</x:v>
      </x:c>
    </x:row>
    <x:row r="45" ht="90" customHeight="1">
      <x:c r="A45" s="54" t="n">
        <x:v>43</x:v>
      </x:c>
      <x:c r="B45" s="54" t="str">
        <x:v>sky.mars.square.uranus</x:v>
      </x:c>
      <x:c r="C45" s="54" t="str">
        <x:v>No classical doctrine: Uranus is a modern planet unknown to traditional astrology. Read from the modern and cyclic layers; treat this contact as a slow, generational background tone.</x:v>
      </x:c>
      <x:c r="D45" s="54" t="str">
        <x:v>Action meets disruption. Impulsive, risk-taking, rebellious energy, with impatience and a pull toward technology. Psychologically the square is inner tension to integrate: Accident-proneness, a temper that goes off like a shot, and unpredictable tactics that either win big or backfire fast. The growth is owning both sides instead of splitting them.</x:v>
      </x:c>
      <x:c r="E45" s="54" t="str">
        <x:v>First / Last Quarter</x:v>
      </x:c>
      <x:c r="F45" s="54" t="str">
        <x:v>Crisis of action: take conscious hold and build a durable form for drive against disruption, or be thrown off course.</x:v>
      </x:c>
      <x:c r="G45" s="54" t="str">
        <x:v>Crisis of meaning: break down the drive/disruption form that has outlived its purpose and reorient toward the next cycle.</x:v>
      </x:c>
      <x:c r="H45" s="54" t="str">
        <x:v>Friction in this area. Innovative and fast; the cost is recklessness and volatility.</x:v>
      </x:c>
      <x:c r="I45" s="54" t="str">
        <x:v>Anger and recklessness collides with instability for its own sake; forcing or splitting it instead of working it through.</x:v>
      </x:c>
      <x:c r="J45" s="54" t="str">
        <x:v>Friction builds toward a forced adjustment.</x:v>
      </x:c>
      <x:c r="K45" s="54" t="str">
        <x:v>The crisis passes; what was restructured settles.</x:v>
      </x:c>
      <x:c r="L45" s="54" t="str">
        <x:v>Action meets disruption. Impulsive, risk-taking, rebellious energy, with impatience and a pull toward technology. Psychologically the square is inner tension to integrate: Accident-proneness, a temper that goes off like a shot, and unpredictable tactics that either win big or backfire fast. The growth is owning both sides instead of splitting them.</x:v>
      </x:c>
      <x:c r="M45" s="54" t="str">
        <x:v>{
  "traditional": "classical and traditional sources",
  "modern": "modern aspect cookbook (psychological / popular register)",
  "cyclic": "humanistic / process-oriented source (cyclic model)"
}</x:v>
      </x:c>
      <x:c r="N45" s="54" t="str">
        <x:v>b18087aa7eea919dc88b46cce855f718735312f142e42b8bc921e4845aef3302</x:v>
      </x:c>
      <x:c r="O45" s="54" t="str">
        <x:v>packages/astro-knowledge/data/transits/mars-square-uranus.json</x:v>
      </x:c>
    </x:row>
    <x:row r="46" ht="90" customHeight="1">
      <x:c r="A46" s="54" t="n">
        <x:v>44</x:v>
      </x:c>
      <x:c r="B46" s="54" t="str">
        <x:v>sky.mars.trine.uranus</x:v>
      </x:c>
      <x:c r="C46" s="54" t="str">
        <x:v>No classical doctrine: Uranus is a modern planet unknown to traditional astrology. Read from the modern and cyclic layers; treat this contact as a slow, generational background tone.</x:v>
      </x:c>
      <x:c r="D46" s="54" t="str">
        <x:v>Action meets disruption. Impulsive, risk-taking, rebellious energy, with impatience and a pull toward technology. The trine makes this a natural strength: Quick, original action and inventive problem-solving. The growth edge is not to coast on the ease.</x:v>
      </x:c>
      <x:c r="E46" s="54" t="str">
        <x:v>Waxing / waning trine</x:v>
      </x:c>
      <x:c r="F46" s="54" t="str">
        <x:v>Drive and disruption flow together with ease; respond to the opportunity.</x:v>
      </x:c>
      <x:c r="G46" s="54" t="str">
        <x:v>Distribute and give transmissible form to what drive and disruption have realized.</x:v>
      </x:c>
      <x:c r="H46" s="54" t="str">
        <x:v>An opening in this area. Innovative and fast; the cost is recklessness and volatility.</x:v>
      </x:c>
      <x:c r="I46" s="54" t="str">
        <x:v>The ease lets anger and recklessness and instability for its own sake go unchecked, or the opening pass unused.</x:v>
      </x:c>
      <x:c r="J46" s="54" t="str">
        <x:v>Ease and support build and arrive on their own.</x:v>
      </x:c>
      <x:c r="K46" s="54" t="str">
        <x:v>The ease withdraws; the flow passes, used or not.</x:v>
      </x:c>
      <x:c r="L46" s="54" t="str">
        <x:v>Action meets disruption. Impulsive, risk-taking, rebellious energy, with impatience and a pull toward technology. The trine makes this a natural strength: Quick, original action and inventive problem-solving. The growth edge is not to coast on the ease.</x:v>
      </x:c>
      <x:c r="M46" s="54" t="str">
        <x:v>{
  "traditional": "classical and traditional sources",
  "modern": "modern aspect cookbook (psychological / popular register)",
  "cyclic": "humanistic / process-oriented source (cyclic model)"
}</x:v>
      </x:c>
      <x:c r="N46" s="54" t="str">
        <x:v>a883206fb07320df6a68e0a7b9f1efd0665dca29bb8300b1f5b7ac0f556e6f80</x:v>
      </x:c>
      <x:c r="O46" s="54" t="str">
        <x:v>packages/astro-knowledge/data/transits/mars-trine-uranus.json</x:v>
      </x:c>
    </x:row>
    <x:row r="47" ht="90" customHeight="1">
      <x:c r="A47" s="54" t="n">
        <x:v>45</x:v>
      </x:c>
      <x:c r="B47" s="54" t="str">
        <x:v>sky.mars.sextile.uranus</x:v>
      </x:c>
      <x:c r="C47" s="54" t="str">
        <x:v>No classical doctrine: Uranus is a modern planet unknown to traditional astrology. Read from the modern and cyclic layers; treat this contact as a slow, generational background tone.</x:v>
      </x:c>
      <x:c r="D47" s="54" t="str">
        <x:v>Action meets disruption. Impulsive, risk-taking, rebellious energy, with impatience and a pull toward technology. The sextile makes this a natural strength: Quick, original action and inventive problem-solving. The growth edge is not to coast on the ease.</x:v>
      </x:c>
      <x:c r="E47" s="54" t="str">
        <x:v>Waxing / waning sextile</x:v>
      </x:c>
      <x:c r="F47" s="54" t="str">
        <x:v>A chance to organize drive and disruption into a new form; it must be actively taken up.</x:v>
      </x:c>
      <x:c r="G47" s="54" t="str">
        <x:v>Reorganize and share what drive and disruption have taught; communicate the insight.</x:v>
      </x:c>
      <x:c r="H47" s="54" t="str">
        <x:v>An opening in this area. Innovative and fast; the cost is recklessness and volatility.</x:v>
      </x:c>
      <x:c r="I47" s="54" t="str">
        <x:v>The ease lets anger and recklessness and instability for its own sake go unchecked, or the opening pass unused.</x:v>
      </x:c>
      <x:c r="J47" s="54" t="str">
        <x:v>A supportive opening becomes available; offered, not automatic.</x:v>
      </x:c>
      <x:c r="K47" s="54" t="str">
        <x:v>The opening closes; unused, it passes.</x:v>
      </x:c>
      <x:c r="L47" s="54" t="str">
        <x:v>Action meets disruption. Impulsive, risk-taking, rebellious energy, with impatience and a pull toward technology. The sextile makes this a natural strength: Quick, original action and inventive problem-solving. The growth edge is not to coast on the ease.</x:v>
      </x:c>
      <x:c r="M47" s="54" t="str">
        <x:v>{
  "traditional": "classical and traditional sources",
  "modern": "modern aspect cookbook (psychological / popular register)",
  "cyclic": "humanistic / process-oriented source (cyclic model)"
}</x:v>
      </x:c>
      <x:c r="N47" s="54" t="str">
        <x:v>fd1ea29b5b748cecb5076f8ddb66687834276ffce2649eaf9a6f9b4c7b8b2610</x:v>
      </x:c>
      <x:c r="O47" s="54" t="str">
        <x:v>packages/astro-knowledge/data/transits/mars-sextile-uranus.json</x:v>
      </x:c>
    </x:row>
    <x:row r="48" ht="90" customHeight="1">
      <x:c r="A48" s="54" t="n">
        <x:v>46</x:v>
      </x:c>
      <x:c r="B48" s="54" t="str">
        <x:v>sky.mercury.conjunction.jupiter</x:v>
      </x:c>
      <x:c r="C48" s="54" t="str">
        <x:v>Communication, commerce, and contracts fused with growth, fortune, and patronage. The two act as one and the combined significations are hard to separate.</x:v>
      </x:c>
      <x:c r="D48" s="54" t="str">
        <x:v>Mind meets expansion. Easy movement between the big picture and the fine detail, with an optimistic cast to communication. Fused, these drives are difficult to separate and ask to be consciously integrated rather than acted out blindly.</x:v>
      </x:c>
      <x:c r="E48" s="54" t="str">
        <x:v>New (seed)</x:v>
      </x:c>
      <x:c r="F48" s="54" t="str"/>
      <x:c r="G48" s="54" t="str"/>
      <x:c r="H48" s="54" t="str">
        <x:v>Concentrated focus in this area. Strong for pairing vision with persuasion; watch overstatement.</x:v>
      </x:c>
      <x:c r="I48" s="54" t="str">
        <x:v>Scattered overthinking fused with excess and overreach, with no distance to tell them apart.</x:v>
      </x:c>
      <x:c r="J48" s="54" t="str">
        <x:v>The two fuse and intensify as they close in.</x:v>
      </x:c>
      <x:c r="K48" s="54" t="str">
        <x:v>The fused theme peaks and discharges.</x:v>
      </x:c>
      <x:c r="L48" s="54" t="str">
        <x:v>Mind meets expansion. Easy movement between the big picture and the fine detail, with an optimistic cast to communication. Fused, these drives are difficult to separate and ask to be consciously integrated rather than acted out blindly.</x:v>
      </x:c>
      <x:c r="M48" s="54" t="str">
        <x:v>{
  "traditional": "classical and traditional sources",
  "modern": "modern aspect cookbook (psychological / popular register)",
  "cyclic": "humanistic / process-oriented source (cyclic model)"
}</x:v>
      </x:c>
      <x:c r="N48" s="54" t="str">
        <x:v>9dbca0908a98ed8000acdabeebbee5cc7b2d6b9ec868a790d10927acb7e695b1</x:v>
      </x:c>
      <x:c r="O48" s="54" t="str">
        <x:v>packages/astro-knowledge/data/transits/mercury-conjunction-jupiter.json</x:v>
      </x:c>
    </x:row>
    <x:row r="49" ht="90" customHeight="1">
      <x:c r="A49" s="54" t="n">
        <x:v>47</x:v>
      </x:c>
      <x:c r="B49" s="54" t="str">
        <x:v>sky.mercury.opposition.jupiter</x:v>
      </x:c>
      <x:c r="C49" s="54" t="str">
        <x:v>A hard contact. Communication, commerce, and contracts works against growth, fortune, and patronage - obstruction, friction, and strained outcomes in these areas.</x:v>
      </x:c>
      <x:c r="D49" s="54" t="str">
        <x:v>Mind meets expansion. Easy movement between the big picture and the fine detail, with an optimistic cast to communication. Psychologically the opposition is inner tension to integrate: Exaggeration, and swinging between getting lost in detail and ignoring it entirely. The growth is owning both sides instead of splitting them.</x:v>
      </x:c>
      <x:c r="E49" s="54" t="str">
        <x:v>Full (culmination)</x:v>
      </x:c>
      <x:c r="F49" s="54" t="str"/>
      <x:c r="G49" s="54" t="str"/>
      <x:c r="H49" s="54" t="str">
        <x:v>Friction in this area. Strong for pairing vision with persuasion; watch overstatement.</x:v>
      </x:c>
      <x:c r="I49" s="54" t="str">
        <x:v>Scattered overthinking collides with excess and overreach; forcing or splitting it instead of working it through.</x:v>
      </x:c>
      <x:c r="J49" s="54" t="str">
        <x:v>A confrontation builds; the other side comes fully into view.</x:v>
      </x:c>
      <x:c r="K49" s="54" t="str">
        <x:v>The standoff resolves into balance or a split.</x:v>
      </x:c>
      <x:c r="L49" s="54" t="str">
        <x:v>Mind meets expansion. Easy movement between the big picture and the fine detail, with an optimistic cast to communication. Psychologically the opposition is inner tension to integrate: Exaggeration, and swinging between getting lost in detail and ignoring it entirely. The growth is owning both sides instead of splitting them.</x:v>
      </x:c>
      <x:c r="M49" s="54" t="str">
        <x:v>{
  "traditional": "classical and traditional sources",
  "modern": "modern aspect cookbook (psychological / popular register)",
  "cyclic": "humanistic / process-oriented source (cyclic model)"
}</x:v>
      </x:c>
      <x:c r="N49" s="54" t="str">
        <x:v>3448ad9b4aa16dae6e190f1144935f22153bb4ca176c0373805a718b91395958</x:v>
      </x:c>
      <x:c r="O49" s="54" t="str">
        <x:v>packages/astro-knowledge/data/transits/mercury-opposition-jupiter.json</x:v>
      </x:c>
    </x:row>
    <x:row r="50" ht="90" customHeight="1">
      <x:c r="A50" s="54" t="n">
        <x:v>48</x:v>
      </x:c>
      <x:c r="B50" s="54" t="str">
        <x:v>sky.mercury.square.jupiter</x:v>
      </x:c>
      <x:c r="C50" s="54" t="str">
        <x:v>A hard contact. Communication, commerce, and contracts works against growth, fortune, and patronage - obstruction, friction, and strained outcomes in these areas.</x:v>
      </x:c>
      <x:c r="D50" s="54" t="str">
        <x:v>Mind meets expansion. Easy movement between the big picture and the fine detail, with an optimistic cast to communication. Psychologically the square is inner tension to integrate: Exaggeration, and swinging between getting lost in detail and ignoring it entirely. The growth is owning both sides instead of splitting them.</x:v>
      </x:c>
      <x:c r="E50" s="54" t="str">
        <x:v>First / Last Quarter</x:v>
      </x:c>
      <x:c r="F50" s="54" t="str">
        <x:v>Crisis of action: take conscious hold and build a durable form for thinking against growth, or be thrown off course.</x:v>
      </x:c>
      <x:c r="G50" s="54" t="str">
        <x:v>Crisis of meaning: break down the thinking/growth form that has outlived its purpose and reorient toward the next cycle.</x:v>
      </x:c>
      <x:c r="H50" s="54" t="str">
        <x:v>Friction in this area. Strong for pairing vision with persuasion; watch overstatement.</x:v>
      </x:c>
      <x:c r="I50" s="54" t="str">
        <x:v>Scattered overthinking collides with excess and overreach; forcing or splitting it instead of working it through.</x:v>
      </x:c>
      <x:c r="J50" s="54" t="str">
        <x:v>Friction builds toward a forced adjustment.</x:v>
      </x:c>
      <x:c r="K50" s="54" t="str">
        <x:v>The crisis passes; what was restructured settles.</x:v>
      </x:c>
      <x:c r="L50" s="54" t="str">
        <x:v>Mind meets expansion. Easy movement between the big picture and the fine detail, with an optimistic cast to communication. Psychologically the square is inner tension to integrate: Exaggeration, and swinging between getting lost in detail and ignoring it entirely. The growth is owning both sides instead of splitting them.</x:v>
      </x:c>
      <x:c r="M50" s="54" t="str">
        <x:v>{
  "traditional": "classical and traditional sources",
  "modern": "modern aspect cookbook (psychological / popular register)",
  "cyclic": "humanistic / process-oriented source (cyclic model)"
}</x:v>
      </x:c>
      <x:c r="N50" s="54" t="str">
        <x:v>3626b057abaac2ed73fcaa3c62d6e89792abb0f8b7ae9f490c1a7876ce54f604</x:v>
      </x:c>
      <x:c r="O50" s="54" t="str">
        <x:v>packages/astro-knowledge/data/transits/mercury-square-jupiter.json</x:v>
      </x:c>
    </x:row>
    <x:row r="51" ht="90" customHeight="1">
      <x:c r="A51" s="54" t="n">
        <x:v>49</x:v>
      </x:c>
      <x:c r="B51" s="54" t="str">
        <x:v>sky.mercury.trine.jupiter</x:v>
      </x:c>
      <x:c r="C51" s="54" t="str">
        <x:v>A soft contact. Communication, commerce, and contracts supports growth, fortune, and patronage - cooperation and favorable conditions in these areas.</x:v>
      </x:c>
      <x:c r="D51" s="54" t="str">
        <x:v>Mind meets expansion. Easy movement between the big picture and the fine detail, with an optimistic cast to communication. The trine makes this a natural strength: Fluid shifting between generalities and specifics; the conjunction here generally reads as easy. The growth edge is not to coast on the ease.</x:v>
      </x:c>
      <x:c r="E51" s="54" t="str">
        <x:v>Waxing / waning trine</x:v>
      </x:c>
      <x:c r="F51" s="54" t="str">
        <x:v>Thinking and growth flow together with ease; respond to the opportunity.</x:v>
      </x:c>
      <x:c r="G51" s="54" t="str">
        <x:v>Distribute and give transmissible form to what thinking and growth have realized.</x:v>
      </x:c>
      <x:c r="H51" s="54" t="str">
        <x:v>An opening in this area. Strong for pairing vision with persuasion; watch overstatement.</x:v>
      </x:c>
      <x:c r="I51" s="54" t="str">
        <x:v>The ease lets scattered overthinking and excess and overreach go unchecked, or the opening pass unused.</x:v>
      </x:c>
      <x:c r="J51" s="54" t="str">
        <x:v>Ease and support build and arrive on their own.</x:v>
      </x:c>
      <x:c r="K51" s="54" t="str">
        <x:v>The ease withdraws; the flow passes, used or not.</x:v>
      </x:c>
      <x:c r="L51" s="54" t="str">
        <x:v>Mind meets expansion. Easy movement between the big picture and the fine detail, with an optimistic cast to communication. The trine makes this a natural strength: Fluid shifting between generalities and specifics; the conjunction here generally reads as easy. The growth edge is not to coast on the ease.</x:v>
      </x:c>
      <x:c r="M51" s="54" t="str">
        <x:v>{
  "traditional": "classical and traditional sources",
  "modern": "modern aspect cookbook (psychological / popular register)",
  "cyclic": "humanistic / process-oriented source (cyclic model)"
}</x:v>
      </x:c>
      <x:c r="N51" s="54" t="str">
        <x:v>c8aacf9c4417ffd26434bd412152216e9a9cd7019e53cdc4a235ce1c0e92c807</x:v>
      </x:c>
      <x:c r="O51" s="54" t="str">
        <x:v>packages/astro-knowledge/data/transits/mercury-trine-jupiter.json</x:v>
      </x:c>
    </x:row>
    <x:row r="52" ht="90" customHeight="1">
      <x:c r="A52" s="54" t="n">
        <x:v>50</x:v>
      </x:c>
      <x:c r="B52" s="54" t="str">
        <x:v>sky.mercury.sextile.jupiter</x:v>
      </x:c>
      <x:c r="C52" s="54" t="str">
        <x:v>A soft contact. Communication, commerce, and contracts supports growth, fortune, and patronage - cooperation and favorable conditions in these areas.</x:v>
      </x:c>
      <x:c r="D52" s="54" t="str">
        <x:v>Mind meets expansion. Easy movement between the big picture and the fine detail, with an optimistic cast to communication. The sextile makes this a natural strength: Fluid shifting between generalities and specifics; the conjunction here generally reads as easy. The growth edge is not to coast on the ease.</x:v>
      </x:c>
      <x:c r="E52" s="54" t="str">
        <x:v>Waxing / waning sextile</x:v>
      </x:c>
      <x:c r="F52" s="54" t="str">
        <x:v>A chance to organize thinking and growth into a new form; it must be actively taken up.</x:v>
      </x:c>
      <x:c r="G52" s="54" t="str">
        <x:v>Reorganize and share what thinking and growth have taught; communicate the insight.</x:v>
      </x:c>
      <x:c r="H52" s="54" t="str">
        <x:v>An opening in this area. Strong for pairing vision with persuasion; watch overstatement.</x:v>
      </x:c>
      <x:c r="I52" s="54" t="str">
        <x:v>The ease lets scattered overthinking and excess and overreach go unchecked, or the opening pass unused.</x:v>
      </x:c>
      <x:c r="J52" s="54" t="str">
        <x:v>A supportive opening becomes available; offered, not automatic.</x:v>
      </x:c>
      <x:c r="K52" s="54" t="str">
        <x:v>The opening closes; unused, it passes.</x:v>
      </x:c>
      <x:c r="L52" s="54" t="str">
        <x:v>Mind meets expansion. Easy movement between the big picture and the fine detail, with an optimistic cast to communication. The sextile makes this a natural strength: Fluid shifting between generalities and specifics; the conjunction here generally reads as easy. The growth edge is not to coast on the ease.</x:v>
      </x:c>
      <x:c r="M52" s="54" t="str">
        <x:v>{
  "traditional": "classical and traditional sources",
  "modern": "modern aspect cookbook (psychological / popular register)",
  "cyclic": "humanistic / process-oriented source (cyclic model)"
}</x:v>
      </x:c>
      <x:c r="N52" s="54" t="str">
        <x:v>f064fdbac3c6cfcb960e1dd48092e6c52764c3d57c975ce69f94e99ea8583f45</x:v>
      </x:c>
      <x:c r="O52" s="54" t="str">
        <x:v>packages/astro-knowledge/data/transits/mercury-sextile-jupiter.json</x:v>
      </x:c>
    </x:row>
    <x:row r="53" ht="90" customHeight="1">
      <x:c r="A53" s="54" t="n">
        <x:v>51</x:v>
      </x:c>
      <x:c r="B53" s="54" t="str">
        <x:v>sky.mercury.conjunction.mars</x:v>
      </x:c>
      <x:c r="C53" s="54" t="str">
        <x:v>Communication, commerce, and contracts fused with action, conflict, and heat. The two act as one and the combined significations are hard to separate.</x:v>
      </x:c>
      <x:c r="D53" s="54" t="str">
        <x:v>Mind meets drive. A sharp, restless intellect that attacks problems rather than mulling them, and doesn't shy from debate. Fused, these drives are difficult to separate and ask to be consciously integrated rather than acted out blindly.</x:v>
      </x:c>
      <x:c r="E53" s="54" t="str">
        <x:v>New (seed)</x:v>
      </x:c>
      <x:c r="F53" s="54" t="str"/>
      <x:c r="G53" s="54" t="str"/>
      <x:c r="H53" s="54" t="str">
        <x:v>Concentrated focus in this area. Fast, cutting thinking; the task is channeling the edge productively.</x:v>
      </x:c>
      <x:c r="I53" s="54" t="str">
        <x:v>Scattered overthinking fused with anger and recklessness, with no distance to tell them apart.</x:v>
      </x:c>
      <x:c r="J53" s="54" t="str">
        <x:v>The two fuse and intensify as they close in.</x:v>
      </x:c>
      <x:c r="K53" s="54" t="str">
        <x:v>The fused theme peaks and discharges.</x:v>
      </x:c>
      <x:c r="L53" s="54" t="str">
        <x:v>Mind meets drive. A sharp, restless intellect that attacks problems rather than mulling them, and doesn't shy from debate. Fused, these drives are difficult to separate and ask to be consciously integrated rather than acted out blindly.</x:v>
      </x:c>
      <x:c r="M53" s="54" t="str">
        <x:v>{
  "traditional": "classical and traditional sources",
  "modern": "modern aspect cookbook (psychological / popular register)",
  "cyclic": "humanistic / process-oriented source (cyclic model)"
}</x:v>
      </x:c>
      <x:c r="N53" s="54" t="str">
        <x:v>bc60523245e04bb106fcb0110f058672a15bb58f189af29754068747380ff573</x:v>
      </x:c>
      <x:c r="O53" s="54" t="str">
        <x:v>packages/astro-knowledge/data/transits/mercury-conjunction-mars.json</x:v>
      </x:c>
    </x:row>
    <x:row r="54" ht="90" customHeight="1">
      <x:c r="A54" s="54" t="n">
        <x:v>52</x:v>
      </x:c>
      <x:c r="B54" s="54" t="str">
        <x:v>sky.mercury.opposition.mars</x:v>
      </x:c>
      <x:c r="C54" s="54" t="str">
        <x:v>A hard contact. Communication, commerce, and contracts works against action, conflict, and heat - obstruction, friction, and strained outcomes in these areas.</x:v>
      </x:c>
      <x:c r="D54" s="54" t="str">
        <x:v>Mind meets drive. A sharp, restless intellect that attacks problems rather than mulling them, and doesn't shy from debate. Psychologically the opposition is inner tension to integrate: Arguments and verbal aggression; the mind never switches off. The growth is owning both sides instead of splitting them.</x:v>
      </x:c>
      <x:c r="E54" s="54" t="str">
        <x:v>Full (culmination)</x:v>
      </x:c>
      <x:c r="F54" s="54" t="str"/>
      <x:c r="G54" s="54" t="str"/>
      <x:c r="H54" s="54" t="str">
        <x:v>Friction in this area. Fast, cutting thinking; the task is channeling the edge productively.</x:v>
      </x:c>
      <x:c r="I54" s="54" t="str">
        <x:v>Scattered overthinking collides with anger and recklessness; forcing or splitting it instead of working it through.</x:v>
      </x:c>
      <x:c r="J54" s="54" t="str">
        <x:v>A confrontation builds; the other side comes fully into view.</x:v>
      </x:c>
      <x:c r="K54" s="54" t="str">
        <x:v>The standoff resolves into balance or a split.</x:v>
      </x:c>
      <x:c r="L54" s="54" t="str">
        <x:v>Mind meets drive. A sharp, restless intellect that attacks problems rather than mulling them, and doesn't shy from debate. Psychologically the opposition is inner tension to integrate: Arguments and verbal aggression; the mind never switches off. The growth is owning both sides instead of splitting them.</x:v>
      </x:c>
      <x:c r="M54" s="54" t="str">
        <x:v>{
  "traditional": "classical and traditional sources",
  "modern": "modern aspect cookbook (psychological / popular register)",
  "cyclic": "humanistic / process-oriented source (cyclic model)"
}</x:v>
      </x:c>
      <x:c r="N54" s="54" t="str">
        <x:v>1a04756be3f0f4f0db4a42f2888bcd4f27f4b47d9b6fb13871537b4c2950f366</x:v>
      </x:c>
      <x:c r="O54" s="54" t="str">
        <x:v>packages/astro-knowledge/data/transits/mercury-opposition-mars.json</x:v>
      </x:c>
    </x:row>
    <x:row r="55" ht="90" customHeight="1">
      <x:c r="A55" s="54" t="n">
        <x:v>53</x:v>
      </x:c>
      <x:c r="B55" s="54" t="str">
        <x:v>sky.mercury.square.mars</x:v>
      </x:c>
      <x:c r="C55" s="54" t="str">
        <x:v>A hard contact. Communication, commerce, and contracts works against action, conflict, and heat - obstruction, friction, and strained outcomes in these areas.</x:v>
      </x:c>
      <x:c r="D55" s="54" t="str">
        <x:v>Mind meets drive. A sharp, restless intellect that attacks problems rather than mulling them, and doesn't shy from debate. Psychologically the square is inner tension to integrate: Arguments and verbal aggression; the mind never switches off. The growth is owning both sides instead of splitting them.</x:v>
      </x:c>
      <x:c r="E55" s="54" t="str">
        <x:v>First / Last Quarter</x:v>
      </x:c>
      <x:c r="F55" s="54" t="str">
        <x:v>Crisis of action: take conscious hold and build a durable form for thinking against drive, or be thrown off course.</x:v>
      </x:c>
      <x:c r="G55" s="54" t="str">
        <x:v>Crisis of meaning: break down the thinking/drive form that has outlived its purpose and reorient toward the next cycle.</x:v>
      </x:c>
      <x:c r="H55" s="54" t="str">
        <x:v>Friction in this area. Fast, cutting thinking; the task is channeling the edge productively.</x:v>
      </x:c>
      <x:c r="I55" s="54" t="str">
        <x:v>Scattered overthinking collides with anger and recklessness; forcing or splitting it instead of working it through.</x:v>
      </x:c>
      <x:c r="J55" s="54" t="str">
        <x:v>Friction builds toward a forced adjustment.</x:v>
      </x:c>
      <x:c r="K55" s="54" t="str">
        <x:v>The crisis passes; what was restructured settles.</x:v>
      </x:c>
      <x:c r="L55" s="54" t="str">
        <x:v>Mind meets drive. A sharp, restless intellect that attacks problems rather than mulling them, and doesn't shy from debate. Psychologically the square is inner tension to integrate: Arguments and verbal aggression; the mind never switches off. The growth is owning both sides instead of splitting them.</x:v>
      </x:c>
      <x:c r="M55" s="54" t="str">
        <x:v>{
  "traditional": "classical and traditional sources",
  "modern": "modern aspect cookbook (psychological / popular register)",
  "cyclic": "humanistic / process-oriented source (cyclic model)"
}</x:v>
      </x:c>
      <x:c r="N55" s="54" t="str">
        <x:v>48f9ca41b6115973230bc5aec94109bbf89e5f1d34a5ba2a41be14e5b51d0e1e</x:v>
      </x:c>
      <x:c r="O55" s="54" t="str">
        <x:v>packages/astro-knowledge/data/transits/mercury-square-mars.json</x:v>
      </x:c>
    </x:row>
    <x:row r="56" ht="90" customHeight="1">
      <x:c r="A56" s="54" t="n">
        <x:v>54</x:v>
      </x:c>
      <x:c r="B56" s="54" t="str">
        <x:v>sky.mercury.trine.mars</x:v>
      </x:c>
      <x:c r="C56" s="54" t="str">
        <x:v>A soft contact. Communication, commerce, and contracts supports action, conflict, and heat - cooperation and favorable conditions in these areas.</x:v>
      </x:c>
      <x:c r="D56" s="54" t="str">
        <x:v>Mind meets drive. A sharp, restless intellect that attacks problems rather than mulling them, and doesn't shy from debate. The trine makes this a natural strength: Quick, incisive thinking and confident argument. The growth edge is not to coast on the ease.</x:v>
      </x:c>
      <x:c r="E56" s="54" t="str">
        <x:v>Waxing / waning trine</x:v>
      </x:c>
      <x:c r="F56" s="54" t="str">
        <x:v>Thinking and drive flow together with ease; respond to the opportunity.</x:v>
      </x:c>
      <x:c r="G56" s="54" t="str">
        <x:v>Distribute and give transmissible form to what thinking and drive have realized.</x:v>
      </x:c>
      <x:c r="H56" s="54" t="str">
        <x:v>An opening in this area. Fast, cutting thinking; the task is channeling the edge productively.</x:v>
      </x:c>
      <x:c r="I56" s="54" t="str">
        <x:v>The ease lets scattered overthinking and anger and recklessness go unchecked, or the opening pass unused.</x:v>
      </x:c>
      <x:c r="J56" s="54" t="str">
        <x:v>Ease and support build and arrive on their own.</x:v>
      </x:c>
      <x:c r="K56" s="54" t="str">
        <x:v>The ease withdraws; the flow passes, used or not.</x:v>
      </x:c>
      <x:c r="L56" s="54" t="str">
        <x:v>Mind meets drive. A sharp, restless intellect that attacks problems rather than mulling them, and doesn't shy from debate. The trine makes this a natural strength: Quick, incisive thinking and confident argument. The growth edge is not to coast on the ease.</x:v>
      </x:c>
      <x:c r="M56" s="54" t="str">
        <x:v>{
  "traditional": "classical and traditional sources",
  "modern": "modern aspect cookbook (psychological / popular register)",
  "cyclic": "humanistic / process-oriented source (cyclic model)"
}</x:v>
      </x:c>
      <x:c r="N56" s="54" t="str">
        <x:v>a37e3031cfb93a76b08b5734b663a85d348d8bed261606583cd7bd3a4192c876</x:v>
      </x:c>
      <x:c r="O56" s="54" t="str">
        <x:v>packages/astro-knowledge/data/transits/mercury-trine-mars.json</x:v>
      </x:c>
    </x:row>
    <x:row r="57" ht="90" customHeight="1">
      <x:c r="A57" s="54" t="n">
        <x:v>55</x:v>
      </x:c>
      <x:c r="B57" s="54" t="str">
        <x:v>sky.mercury.sextile.mars</x:v>
      </x:c>
      <x:c r="C57" s="54" t="str">
        <x:v>A soft contact. Communication, commerce, and contracts supports action, conflict, and heat - cooperation and favorable conditions in these areas.</x:v>
      </x:c>
      <x:c r="D57" s="54" t="str">
        <x:v>Mind meets drive. A sharp, restless intellect that attacks problems rather than mulling them, and doesn't shy from debate. The sextile makes this a natural strength: Quick, incisive thinking and confident argument. The growth edge is not to coast on the ease.</x:v>
      </x:c>
      <x:c r="E57" s="54" t="str">
        <x:v>Waxing / waning sextile</x:v>
      </x:c>
      <x:c r="F57" s="54" t="str">
        <x:v>A chance to organize thinking and drive into a new form; it must be actively taken up.</x:v>
      </x:c>
      <x:c r="G57" s="54" t="str">
        <x:v>Reorganize and share what thinking and drive have taught; communicate the insight.</x:v>
      </x:c>
      <x:c r="H57" s="54" t="str">
        <x:v>An opening in this area. Fast, cutting thinking; the task is channeling the edge productively.</x:v>
      </x:c>
      <x:c r="I57" s="54" t="str">
        <x:v>The ease lets scattered overthinking and anger and recklessness go unchecked, or the opening pass unused.</x:v>
      </x:c>
      <x:c r="J57" s="54" t="str">
        <x:v>A supportive opening becomes available; offered, not automatic.</x:v>
      </x:c>
      <x:c r="K57" s="54" t="str">
        <x:v>The opening closes; unused, it passes.</x:v>
      </x:c>
      <x:c r="L57" s="54" t="str">
        <x:v>Mind meets drive. A sharp, restless intellect that attacks problems rather than mulling them, and doesn't shy from debate. The sextile makes this a natural strength: Quick, incisive thinking and confident argument. The growth edge is not to coast on the ease.</x:v>
      </x:c>
      <x:c r="M57" s="54" t="str">
        <x:v>{
  "traditional": "classical and traditional sources",
  "modern": "modern aspect cookbook (psychological / popular register)",
  "cyclic": "humanistic / process-oriented source (cyclic model)"
}</x:v>
      </x:c>
      <x:c r="N57" s="54" t="str">
        <x:v>90c1733b7f466f0ee2b55b362d982c52cec89efabf4029fb0300b276adb916b7</x:v>
      </x:c>
      <x:c r="O57" s="54" t="str">
        <x:v>packages/astro-knowledge/data/transits/mercury-sextile-mars.json</x:v>
      </x:c>
    </x:row>
    <x:row r="58" ht="90" customHeight="1">
      <x:c r="A58" s="54" t="n">
        <x:v>56</x:v>
      </x:c>
      <x:c r="B58" s="54" t="str">
        <x:v>sky.mercury.conjunction.neptune</x:v>
      </x:c>
      <x:c r="C58" s="54" t="str">
        <x:v>No classical doctrine: Neptune is a modern planet unknown to traditional astrology. Read from the modern and cyclic layers; treat this contact as a slow, generational background tone.</x:v>
      </x:c>
      <x:c r="D58" s="54" t="str">
        <x:v>Mind meets imagination. Strong imagination and intuitive, associative thinking. Fused, these drives are difficult to separate and ask to be consciously integrated rather than acted out blindly.</x:v>
      </x:c>
      <x:c r="E58" s="54" t="str">
        <x:v>New (seed)</x:v>
      </x:c>
      <x:c r="F58" s="54" t="str"/>
      <x:c r="G58" s="54" t="str"/>
      <x:c r="H58" s="54" t="str">
        <x:v>Concentrated focus in this area. Creative ideation; verify the details before acting on them.</x:v>
      </x:c>
      <x:c r="I58" s="54" t="str">
        <x:v>Scattered overthinking fused with illusion and escapism, with no distance to tell them apart.</x:v>
      </x:c>
      <x:c r="J58" s="54" t="str">
        <x:v>The two fuse and intensify as they close in.</x:v>
      </x:c>
      <x:c r="K58" s="54" t="str">
        <x:v>The fused theme peaks and discharges.</x:v>
      </x:c>
      <x:c r="L58" s="54" t="str">
        <x:v>Mind meets imagination. Strong imagination and intuitive, associative thinking. Fused, these drives are difficult to separate and ask to be consciously integrated rather than acted out blindly.</x:v>
      </x:c>
      <x:c r="M58" s="54" t="str">
        <x:v>{
  "traditional": "classical and traditional sources",
  "modern": "modern aspect cookbook (psychological / popular register)",
  "cyclic": "humanistic / process-oriented source (cyclic model)"
}</x:v>
      </x:c>
      <x:c r="N58" s="54" t="str">
        <x:v>d605c7745577ae020bc756386b0ff2a5d1317da96aac0ddce188038ad508e1ea</x:v>
      </x:c>
      <x:c r="O58" s="54" t="str">
        <x:v>packages/astro-knowledge/data/transits/mercury-conjunction-neptune.json</x:v>
      </x:c>
    </x:row>
    <x:row r="59" ht="90" customHeight="1">
      <x:c r="A59" s="54" t="n">
        <x:v>57</x:v>
      </x:c>
      <x:c r="B59" s="54" t="str">
        <x:v>sky.mercury.opposition.neptune</x:v>
      </x:c>
      <x:c r="C59" s="54" t="str">
        <x:v>No classical doctrine: Neptune is a modern planet unknown to traditional astrology. Read from the modern and cyclic layers; treat this contact as a slow, generational background tone.</x:v>
      </x:c>
      <x:c r="D59" s="54" t="str">
        <x:v>Mind meets imagination. Strong imagination and intuitive, associative thinking. Psychologically the opposition is inner tension to integrate: Slippery memory and blurred facts; what's real and what's imagined get confused. The growth is owning both sides instead of splitting them.</x:v>
      </x:c>
      <x:c r="E59" s="54" t="str">
        <x:v>Full (culmination)</x:v>
      </x:c>
      <x:c r="F59" s="54" t="str"/>
      <x:c r="G59" s="54" t="str"/>
      <x:c r="H59" s="54" t="str">
        <x:v>Friction in this area. Creative ideation; verify the details before acting on them.</x:v>
      </x:c>
      <x:c r="I59" s="54" t="str">
        <x:v>Scattered overthinking collides with illusion and escapism; forcing or splitting it instead of working it through.</x:v>
      </x:c>
      <x:c r="J59" s="54" t="str">
        <x:v>A confrontation builds; the other side comes fully into view.</x:v>
      </x:c>
      <x:c r="K59" s="54" t="str">
        <x:v>The standoff resolves into balance or a split.</x:v>
      </x:c>
      <x:c r="L59" s="54" t="str">
        <x:v>Mind meets imagination. Strong imagination and intuitive, associative thinking. Psychologically the opposition is inner tension to integrate: Slippery memory and blurred facts; what's real and what's imagined get confused. The growth is owning both sides instead of splitting them.</x:v>
      </x:c>
      <x:c r="M59" s="54" t="str">
        <x:v>{
  "traditional": "classical and traditional sources",
  "modern": "modern aspect cookbook (psychological / popular register)",
  "cyclic": "humanistic / process-oriented source (cyclic model)"
}</x:v>
      </x:c>
      <x:c r="N59" s="54" t="str">
        <x:v>279f8cea7664a0f079661cc1393aa78b67bbed3274ad273e1022046c7c7b017d</x:v>
      </x:c>
      <x:c r="O59" s="54" t="str">
        <x:v>packages/astro-knowledge/data/transits/mercury-opposition-neptune.json</x:v>
      </x:c>
    </x:row>
    <x:row r="60" ht="90" customHeight="1">
      <x:c r="A60" s="54" t="n">
        <x:v>58</x:v>
      </x:c>
      <x:c r="B60" s="54" t="str">
        <x:v>sky.mercury.square.neptune</x:v>
      </x:c>
      <x:c r="C60" s="54" t="str">
        <x:v>No classical doctrine: Neptune is a modern planet unknown to traditional astrology. Read from the modern and cyclic layers; treat this contact as a slow, generational background tone.</x:v>
      </x:c>
      <x:c r="D60" s="54" t="str">
        <x:v>Mind meets imagination. Strong imagination and intuitive, associative thinking. Psychologically the square is inner tension to integrate: Slippery memory and blurred facts; what's real and what's imagined get confused. The growth is owning both sides instead of splitting them.</x:v>
      </x:c>
      <x:c r="E60" s="54" t="str">
        <x:v>First / Last Quarter</x:v>
      </x:c>
      <x:c r="F60" s="54" t="str">
        <x:v>Crisis of action: take conscious hold and build a durable form for thinking against imagination, or be thrown off course.</x:v>
      </x:c>
      <x:c r="G60" s="54" t="str">
        <x:v>Crisis of meaning: break down the thinking/imagination form that has outlived its purpose and reorient toward the next cycle.</x:v>
      </x:c>
      <x:c r="H60" s="54" t="str">
        <x:v>Friction in this area. Creative ideation; verify the details before acting on them.</x:v>
      </x:c>
      <x:c r="I60" s="54" t="str">
        <x:v>Scattered overthinking collides with illusion and escapism; forcing or splitting it instead of working it through.</x:v>
      </x:c>
      <x:c r="J60" s="54" t="str">
        <x:v>Friction builds toward a forced adjustment.</x:v>
      </x:c>
      <x:c r="K60" s="54" t="str">
        <x:v>The crisis passes; what was restructured settles.</x:v>
      </x:c>
      <x:c r="L60" s="54" t="str">
        <x:v>Mind meets imagination. Strong imagination and intuitive, associative thinking. Psychologically the square is inner tension to integrate: Slippery memory and blurred facts; what's real and what's imagined get confused. The growth is owning both sides instead of splitting them.</x:v>
      </x:c>
      <x:c r="M60" s="54" t="str">
        <x:v>{
  "traditional": "classical and traditional sources",
  "modern": "modern aspect cookbook (psychological / popular register)",
  "cyclic": "humanistic / process-oriented source (cyclic model)"
}</x:v>
      </x:c>
      <x:c r="N60" s="54" t="str">
        <x:v>85ea7c2c5e08a9c90bc0a0a63da72d5362440c5a0fce505f40bb75ecfc5f7d82</x:v>
      </x:c>
      <x:c r="O60" s="54" t="str">
        <x:v>packages/astro-knowledge/data/transits/mercury-square-neptune.json</x:v>
      </x:c>
    </x:row>
    <x:row r="61" ht="90" customHeight="1">
      <x:c r="A61" s="54" t="n">
        <x:v>59</x:v>
      </x:c>
      <x:c r="B61" s="54" t="str">
        <x:v>sky.mercury.trine.neptune</x:v>
      </x:c>
      <x:c r="C61" s="54" t="str">
        <x:v>No classical doctrine: Neptune is a modern planet unknown to traditional astrology. Read from the modern and cyclic layers; treat this contact as a slow, generational background tone.</x:v>
      </x:c>
      <x:c r="D61" s="54" t="str">
        <x:v>Mind meets imagination. Strong imagination and intuitive, associative thinking. The trine makes this a natural strength: Inspired ideation and a feel for the unspoken. The growth edge is not to coast on the ease.</x:v>
      </x:c>
      <x:c r="E61" s="54" t="str">
        <x:v>Waxing / waning trine</x:v>
      </x:c>
      <x:c r="F61" s="54" t="str">
        <x:v>Thinking and imagination flow together with ease; respond to the opportunity.</x:v>
      </x:c>
      <x:c r="G61" s="54" t="str">
        <x:v>Distribute and give transmissible form to what thinking and imagination have realized.</x:v>
      </x:c>
      <x:c r="H61" s="54" t="str">
        <x:v>An opening in this area. Creative ideation; verify the details before acting on them.</x:v>
      </x:c>
      <x:c r="I61" s="54" t="str">
        <x:v>The ease lets scattered overthinking and illusion and escapism go unchecked, or the opening pass unused.</x:v>
      </x:c>
      <x:c r="J61" s="54" t="str">
        <x:v>Ease and support build and arrive on their own.</x:v>
      </x:c>
      <x:c r="K61" s="54" t="str">
        <x:v>The ease withdraws; the flow passes, used or not.</x:v>
      </x:c>
      <x:c r="L61" s="54" t="str">
        <x:v>Mind meets imagination. Strong imagination and intuitive, associative thinking. The trine makes this a natural strength: Inspired ideation and a feel for the unspoken. The growth edge is not to coast on the ease.</x:v>
      </x:c>
      <x:c r="M61" s="54" t="str">
        <x:v>{
  "traditional": "classical and traditional sources",
  "modern": "modern aspect cookbook (psychological / popular register)",
  "cyclic": "humanistic / process-oriented source (cyclic model)"
}</x:v>
      </x:c>
      <x:c r="N61" s="54" t="str">
        <x:v>49f8da2701c30b73463fb63a476a748af2021875b7ae41964e733d99094d56c7</x:v>
      </x:c>
      <x:c r="O61" s="54" t="str">
        <x:v>packages/astro-knowledge/data/transits/mercury-trine-neptune.json</x:v>
      </x:c>
    </x:row>
    <x:row r="62" ht="90" customHeight="1">
      <x:c r="A62" s="54" t="n">
        <x:v>60</x:v>
      </x:c>
      <x:c r="B62" s="54" t="str">
        <x:v>sky.mercury.sextile.neptune</x:v>
      </x:c>
      <x:c r="C62" s="54" t="str">
        <x:v>No classical doctrine: Neptune is a modern planet unknown to traditional astrology. Read from the modern and cyclic layers; treat this contact as a slow, generational background tone.</x:v>
      </x:c>
      <x:c r="D62" s="54" t="str">
        <x:v>Mind meets imagination. Strong imagination and intuitive, associative thinking. The sextile makes this a natural strength: Inspired ideation and a feel for the unspoken. The growth edge is not to coast on the ease.</x:v>
      </x:c>
      <x:c r="E62" s="54" t="str">
        <x:v>Waxing / waning sextile</x:v>
      </x:c>
      <x:c r="F62" s="54" t="str">
        <x:v>A chance to organize thinking and imagination into a new form; it must be actively taken up.</x:v>
      </x:c>
      <x:c r="G62" s="54" t="str">
        <x:v>Reorganize and share what thinking and imagination have taught; communicate the insight.</x:v>
      </x:c>
      <x:c r="H62" s="54" t="str">
        <x:v>An opening in this area. Creative ideation; verify the details before acting on them.</x:v>
      </x:c>
      <x:c r="I62" s="54" t="str">
        <x:v>The ease lets scattered overthinking and illusion and escapism go unchecked, or the opening pass unused.</x:v>
      </x:c>
      <x:c r="J62" s="54" t="str">
        <x:v>A supportive opening becomes available; offered, not automatic.</x:v>
      </x:c>
      <x:c r="K62" s="54" t="str">
        <x:v>The opening closes; unused, it passes.</x:v>
      </x:c>
      <x:c r="L62" s="54" t="str">
        <x:v>Mind meets imagination. Strong imagination and intuitive, associative thinking. The sextile makes this a natural strength: Inspired ideation and a feel for the unspoken. The growth edge is not to coast on the ease.</x:v>
      </x:c>
      <x:c r="M62" s="54" t="str">
        <x:v>{
  "traditional": "classical and traditional sources",
  "modern": "modern aspect cookbook (psychological / popular register)",
  "cyclic": "humanistic / process-oriented source (cyclic model)"
}</x:v>
      </x:c>
      <x:c r="N62" s="54" t="str">
        <x:v>21474dbc0c4fef0548b8d2b9778f13e3ad635bff4c3deb8a6f4efeab31838473</x:v>
      </x:c>
      <x:c r="O62" s="54" t="str">
        <x:v>packages/astro-knowledge/data/transits/mercury-sextile-neptune.json</x:v>
      </x:c>
    </x:row>
    <x:row r="63" ht="90" customHeight="1">
      <x:c r="A63" s="54" t="n">
        <x:v>61</x:v>
      </x:c>
      <x:c r="B63" s="54" t="str">
        <x:v>sky.mercury.conjunction.pluto</x:v>
      </x:c>
      <x:c r="C63" s="54" t="str">
        <x:v>No classical doctrine: Pluto is a modern planet unknown to traditional astrology. Read from the modern and cyclic layers; treat this contact as a slow, generational background tone.</x:v>
      </x:c>
      <x:c r="D63" s="54" t="str">
        <x:v>Mind meets power. Forceful, penetrating communication; words that can heal or wound and tend to be remembered. Fused, these drives are difficult to separate and ask to be consciously integrated rather than acted out blindly.</x:v>
      </x:c>
      <x:c r="E63" s="54" t="str">
        <x:v>New (seed)</x:v>
      </x:c>
      <x:c r="F63" s="54" t="str"/>
      <x:c r="G63" s="54" t="str"/>
      <x:c r="H63" s="54" t="str">
        <x:v>Concentrated focus in this area. Sales, persuasion, research, and anything requiring depth and force of message.</x:v>
      </x:c>
      <x:c r="I63" s="54" t="str">
        <x:v>Scattered overthinking fused with control and obsession, with no distance to tell them apart.</x:v>
      </x:c>
      <x:c r="J63" s="54" t="str">
        <x:v>The two fuse and intensify as they close in.</x:v>
      </x:c>
      <x:c r="K63" s="54" t="str">
        <x:v>The fused theme peaks and discharges.</x:v>
      </x:c>
      <x:c r="L63" s="54" t="str">
        <x:v>Mind meets power. Forceful, penetrating communication; words that can heal or wound and tend to be remembered. Fused, these drives are difficult to separate and ask to be consciously integrated rather than acted out blindly.</x:v>
      </x:c>
      <x:c r="M63" s="54" t="str">
        <x:v>{
  "traditional": "classical and traditional sources",
  "modern": "modern aspect cookbook (psychological / popular register)",
  "cyclic": "humanistic / process-oriented source (cyclic model)"
}</x:v>
      </x:c>
      <x:c r="N63" s="54" t="str">
        <x:v>1442d74af5d71df6593951b09b216e90ac1591e0e1683c8904f27ee466d7561b</x:v>
      </x:c>
      <x:c r="O63" s="54" t="str">
        <x:v>packages/astro-knowledge/data/transits/mercury-conjunction-pluto.json</x:v>
      </x:c>
    </x:row>
    <x:row r="64" ht="90" customHeight="1">
      <x:c r="A64" s="54" t="n">
        <x:v>62</x:v>
      </x:c>
      <x:c r="B64" s="54" t="str">
        <x:v>sky.mercury.opposition.pluto</x:v>
      </x:c>
      <x:c r="C64" s="54" t="str">
        <x:v>No classical doctrine: Pluto is a modern planet unknown to traditional astrology. Read from the modern and cyclic layers; treat this contact as a slow, generational background tone.</x:v>
      </x:c>
      <x:c r="D64" s="54" t="str">
        <x:v>Mind meets power. Forceful, penetrating communication; words that can heal or wound and tend to be remembered. Psychologically the opposition is inner tension to integrate: Communication turns coercive or obsessive. The growth is owning both sides instead of splitting them.</x:v>
      </x:c>
      <x:c r="E64" s="54" t="str">
        <x:v>Full (culmination)</x:v>
      </x:c>
      <x:c r="F64" s="54" t="str"/>
      <x:c r="G64" s="54" t="str"/>
      <x:c r="H64" s="54" t="str">
        <x:v>Friction in this area. Sales, persuasion, research, and anything requiring depth and force of message.</x:v>
      </x:c>
      <x:c r="I64" s="54" t="str">
        <x:v>Scattered overthinking collides with control and obsession; forcing or splitting it instead of working it through.</x:v>
      </x:c>
      <x:c r="J64" s="54" t="str">
        <x:v>A confrontation builds; the other side comes fully into view.</x:v>
      </x:c>
      <x:c r="K64" s="54" t="str">
        <x:v>The standoff resolves into balance or a split.</x:v>
      </x:c>
      <x:c r="L64" s="54" t="str">
        <x:v>Mind meets power. Forceful, penetrating communication; words that can heal or wound and tend to be remembered. Psychologically the opposition is inner tension to integrate: Communication turns coercive or obsessive. The growth is owning both sides instead of splitting them.</x:v>
      </x:c>
      <x:c r="M64" s="54" t="str">
        <x:v>{
  "traditional": "classical and traditional sources",
  "modern": "modern aspect cookbook (psychological / popular register)",
  "cyclic": "humanistic / process-oriented source (cyclic model)"
}</x:v>
      </x:c>
      <x:c r="N64" s="54" t="str">
        <x:v>dedfc4e5f8400a2507c51e51821de3a4c325ec05922bcea8a18216790ba8fe6f</x:v>
      </x:c>
      <x:c r="O64" s="54" t="str">
        <x:v>packages/astro-knowledge/data/transits/mercury-opposition-pluto.json</x:v>
      </x:c>
    </x:row>
    <x:row r="65" ht="90" customHeight="1">
      <x:c r="A65" s="54" t="n">
        <x:v>63</x:v>
      </x:c>
      <x:c r="B65" s="54" t="str">
        <x:v>sky.mercury.square.pluto</x:v>
      </x:c>
      <x:c r="C65" s="54" t="str">
        <x:v>No classical doctrine: Pluto is a modern planet unknown to traditional astrology. Read from the modern and cyclic layers; treat this contact as a slow, generational background tone.</x:v>
      </x:c>
      <x:c r="D65" s="54" t="str">
        <x:v>Mind meets power. Forceful, penetrating communication; words that can heal or wound and tend to be remembered. Psychologically the square is inner tension to integrate: Communication turns coercive or obsessive. The growth is owning both sides instead of splitting them.</x:v>
      </x:c>
      <x:c r="E65" s="54" t="str">
        <x:v>First / Last Quarter</x:v>
      </x:c>
      <x:c r="F65" s="54" t="str">
        <x:v>Crisis of action: take conscious hold and build a durable form for thinking against power, or be thrown off course.</x:v>
      </x:c>
      <x:c r="G65" s="54" t="str">
        <x:v>Crisis of meaning: break down the thinking/power form that has outlived its purpose and reorient toward the next cycle.</x:v>
      </x:c>
      <x:c r="H65" s="54" t="str">
        <x:v>Friction in this area. Sales, persuasion, research, and anything requiring depth and force of message.</x:v>
      </x:c>
      <x:c r="I65" s="54" t="str">
        <x:v>Scattered overthinking collides with control and obsession; forcing or splitting it instead of working it through.</x:v>
      </x:c>
      <x:c r="J65" s="54" t="str">
        <x:v>Friction builds toward a forced adjustment.</x:v>
      </x:c>
      <x:c r="K65" s="54" t="str">
        <x:v>The crisis passes; what was restructured settles.</x:v>
      </x:c>
      <x:c r="L65" s="54" t="str">
        <x:v>Mind meets power. Forceful, penetrating communication; words that can heal or wound and tend to be remembered. Psychologically the square is inner tension to integrate: Communication turns coercive or obsessive. The growth is owning both sides instead of splitting them.</x:v>
      </x:c>
      <x:c r="M65" s="54" t="str">
        <x:v>{
  "traditional": "classical and traditional sources",
  "modern": "modern aspect cookbook (psychological / popular register)",
  "cyclic": "humanistic / process-oriented source (cyclic model)"
}</x:v>
      </x:c>
      <x:c r="N65" s="54" t="str">
        <x:v>c9535cdf759327fc49f8c4dc04d9ea15b29a30aa4180d55aa5a95945583eff35</x:v>
      </x:c>
      <x:c r="O65" s="54" t="str">
        <x:v>packages/astro-knowledge/data/transits/mercury-square-pluto.json</x:v>
      </x:c>
    </x:row>
    <x:row r="66" ht="90" customHeight="1">
      <x:c r="A66" s="54" t="n">
        <x:v>64</x:v>
      </x:c>
      <x:c r="B66" s="54" t="str">
        <x:v>sky.mercury.trine.pluto</x:v>
      </x:c>
      <x:c r="C66" s="54" t="str">
        <x:v>No classical doctrine: Pluto is a modern planet unknown to traditional astrology. Read from the modern and cyclic layers; treat this contact as a slow, generational background tone.</x:v>
      </x:c>
      <x:c r="D66" s="54" t="str">
        <x:v>Mind meets power. Forceful, penetrating communication; words that can heal or wound and tend to be remembered. The trine makes this a natural strength: Persuasive depth and a talent for getting at hidden information. The growth edge is not to coast on the ease.</x:v>
      </x:c>
      <x:c r="E66" s="54" t="str">
        <x:v>Waxing / waning trine</x:v>
      </x:c>
      <x:c r="F66" s="54" t="str">
        <x:v>Thinking and power flow together with ease; respond to the opportunity.</x:v>
      </x:c>
      <x:c r="G66" s="54" t="str">
        <x:v>Distribute and give transmissible form to what thinking and power have realized.</x:v>
      </x:c>
      <x:c r="H66" s="54" t="str">
        <x:v>An opening in this area. Sales, persuasion, research, and anything requiring depth and force of message.</x:v>
      </x:c>
      <x:c r="I66" s="54" t="str">
        <x:v>The ease lets scattered overthinking and control and obsession go unchecked, or the opening pass unused.</x:v>
      </x:c>
      <x:c r="J66" s="54" t="str">
        <x:v>Ease and support build and arrive on their own.</x:v>
      </x:c>
      <x:c r="K66" s="54" t="str">
        <x:v>The ease withdraws; the flow passes, used or not.</x:v>
      </x:c>
      <x:c r="L66" s="54" t="str">
        <x:v>Mind meets power. Forceful, penetrating communication; words that can heal or wound and tend to be remembered. The trine makes this a natural strength: Persuasive depth and a talent for getting at hidden information. The growth edge is not to coast on the ease.</x:v>
      </x:c>
      <x:c r="M66" s="54" t="str">
        <x:v>{
  "traditional": "classical and traditional sources",
  "modern": "modern aspect cookbook (psychological / popular register)",
  "cyclic": "humanistic / process-oriented source (cyclic model)"
}</x:v>
      </x:c>
      <x:c r="N66" s="54" t="str">
        <x:v>0abd60efaba9df04e889dd1e79976b33206a6594248692b844f0727e66da2c45</x:v>
      </x:c>
      <x:c r="O66" s="54" t="str">
        <x:v>packages/astro-knowledge/data/transits/mercury-trine-pluto.json</x:v>
      </x:c>
    </x:row>
    <x:row r="67" ht="90" customHeight="1">
      <x:c r="A67" s="54" t="n">
        <x:v>65</x:v>
      </x:c>
      <x:c r="B67" s="54" t="str">
        <x:v>sky.mercury.sextile.pluto</x:v>
      </x:c>
      <x:c r="C67" s="54" t="str">
        <x:v>No classical doctrine: Pluto is a modern planet unknown to traditional astrology. Read from the modern and cyclic layers; treat this contact as a slow, generational background tone.</x:v>
      </x:c>
      <x:c r="D67" s="54" t="str">
        <x:v>Mind meets power. Forceful, penetrating communication; words that can heal or wound and tend to be remembered. The sextile makes this a natural strength: Persuasive depth and a talent for getting at hidden information. The growth edge is not to coast on the ease.</x:v>
      </x:c>
      <x:c r="E67" s="54" t="str">
        <x:v>Waxing / waning sextile</x:v>
      </x:c>
      <x:c r="F67" s="54" t="str">
        <x:v>A chance to organize thinking and power into a new form; it must be actively taken up.</x:v>
      </x:c>
      <x:c r="G67" s="54" t="str">
        <x:v>Reorganize and share what thinking and power have taught; communicate the insight.</x:v>
      </x:c>
      <x:c r="H67" s="54" t="str">
        <x:v>An opening in this area. Sales, persuasion, research, and anything requiring depth and force of message.</x:v>
      </x:c>
      <x:c r="I67" s="54" t="str">
        <x:v>The ease lets scattered overthinking and control and obsession go unchecked, or the opening pass unused.</x:v>
      </x:c>
      <x:c r="J67" s="54" t="str">
        <x:v>A supportive opening becomes available; offered, not automatic.</x:v>
      </x:c>
      <x:c r="K67" s="54" t="str">
        <x:v>The opening closes; unused, it passes.</x:v>
      </x:c>
      <x:c r="L67" s="54" t="str">
        <x:v>Mind meets power. Forceful, penetrating communication; words that can heal or wound and tend to be remembered. The sextile makes this a natural strength: Persuasive depth and a talent for getting at hidden information. The growth edge is not to coast on the ease.</x:v>
      </x:c>
      <x:c r="M67" s="54" t="str">
        <x:v>{
  "traditional": "classical and traditional sources",
  "modern": "modern aspect cookbook (psychological / popular register)",
  "cyclic": "humanistic / process-oriented source (cyclic model)"
}</x:v>
      </x:c>
      <x:c r="N67" s="54" t="str">
        <x:v>026d6a75ef796e88799a68c523b90bf417a9c6b1c4dbcd9ab2143b6a985b30b1</x:v>
      </x:c>
      <x:c r="O67" s="54" t="str">
        <x:v>packages/astro-knowledge/data/transits/mercury-sextile-pluto.json</x:v>
      </x:c>
    </x:row>
    <x:row r="68" ht="90" customHeight="1">
      <x:c r="A68" s="54" t="n">
        <x:v>66</x:v>
      </x:c>
      <x:c r="B68" s="54" t="str">
        <x:v>sky.mercury.conjunction.saturn</x:v>
      </x:c>
      <x:c r="C68" s="54" t="str">
        <x:v>Communication, commerce, and contracts fused with limitation, delay, and hard structure. The two act as one and the combined significations are hard to separate.</x:v>
      </x:c>
      <x:c r="D68" s="54" t="str">
        <x:v>Mind meets discipline. Serious, deep, careful thinking; apparent slowness that is caution, not lack of intelligence. Fused, these drives are difficult to separate and ask to be consciously integrated rather than acted out blindly.</x:v>
      </x:c>
      <x:c r="E68" s="54" t="str">
        <x:v>New (seed)</x:v>
      </x:c>
      <x:c r="F68" s="54" t="str"/>
      <x:c r="G68" s="54" t="str"/>
      <x:c r="H68" s="54" t="str">
        <x:v>Concentrated focus in this area. Thorough and exacting, with little patience for small talk.</x:v>
      </x:c>
      <x:c r="I68" s="54" t="str">
        <x:v>Scattered overthinking fused with fear and rigidity, with no distance to tell them apart.</x:v>
      </x:c>
      <x:c r="J68" s="54" t="str">
        <x:v>The two fuse and intensify as they close in.</x:v>
      </x:c>
      <x:c r="K68" s="54" t="str">
        <x:v>The fused theme peaks and discharges.</x:v>
      </x:c>
      <x:c r="L68" s="54" t="str">
        <x:v>Mind meets discipline. Serious, deep, careful thinking; apparent slowness that is caution, not lack of intelligence. Fused, these drives are difficult to separate and ask to be consciously integrated rather than acted out blindly.</x:v>
      </x:c>
      <x:c r="M68" s="54" t="str">
        <x:v>{
  "traditional": "classical and traditional sources",
  "modern": "modern aspect cookbook (psychological / popular register)",
  "cyclic": "humanistic / process-oriented source (cyclic model)"
}</x:v>
      </x:c>
      <x:c r="N68" s="54" t="str">
        <x:v>95ee8a52abff4bd1b1d851b496b3e7eb69011d8e867032fd1d0bceb2c146e45e</x:v>
      </x:c>
      <x:c r="O68" s="54" t="str">
        <x:v>packages/astro-knowledge/data/transits/mercury-conjunction-saturn.json</x:v>
      </x:c>
    </x:row>
    <x:row r="69" ht="90" customHeight="1">
      <x:c r="A69" s="54" t="n">
        <x:v>67</x:v>
      </x:c>
      <x:c r="B69" s="54" t="str">
        <x:v>sky.mercury.opposition.saturn</x:v>
      </x:c>
      <x:c r="C69" s="54" t="str">
        <x:v>A hard contact. Communication, commerce, and contracts works against limitation, delay, and hard structure - obstruction, friction, and strained outcomes in these areas.</x:v>
      </x:c>
      <x:c r="D69" s="54" t="str">
        <x:v>Mind meets discipline. Serious, deep, careful thinking; apparent slowness that is caution, not lack of intelligence. Psychologically the opposition is inner tension to integrate: Brooding and mental heaviness; the remedy is keeping the mind on useful work. The growth is owning both sides instead of splitting them.</x:v>
      </x:c>
      <x:c r="E69" s="54" t="str">
        <x:v>Full (culmination)</x:v>
      </x:c>
      <x:c r="F69" s="54" t="str"/>
      <x:c r="G69" s="54" t="str"/>
      <x:c r="H69" s="54" t="str">
        <x:v>Friction in this area. Thorough and exacting, with little patience for small talk.</x:v>
      </x:c>
      <x:c r="I69" s="54" t="str">
        <x:v>Scattered overthinking collides with fear and rigidity; forcing or splitting it instead of working it through.</x:v>
      </x:c>
      <x:c r="J69" s="54" t="str">
        <x:v>A confrontation builds; the other side comes fully into view.</x:v>
      </x:c>
      <x:c r="K69" s="54" t="str">
        <x:v>The standoff resolves into balance or a split.</x:v>
      </x:c>
      <x:c r="L69" s="54" t="str">
        <x:v>Mind meets discipline. Serious, deep, careful thinking; apparent slowness that is caution, not lack of intelligence. Psychologically the opposition is inner tension to integrate: Brooding and mental heaviness; the remedy is keeping the mind on useful work. The growth is owning both sides instead of splitting them.</x:v>
      </x:c>
      <x:c r="M69" s="54" t="str">
        <x:v>{
  "traditional": "classical and traditional sources",
  "modern": "modern aspect cookbook (psychological / popular register)",
  "cyclic": "humanistic / process-oriented source (cyclic model)"
}</x:v>
      </x:c>
      <x:c r="N69" s="54" t="str">
        <x:v>2c1e75805eb02c80ee47e8caa7b3913581e931e570e00a0834a463d0a894775f</x:v>
      </x:c>
      <x:c r="O69" s="54" t="str">
        <x:v>packages/astro-knowledge/data/transits/mercury-opposition-saturn.json</x:v>
      </x:c>
    </x:row>
    <x:row r="70" ht="90" customHeight="1">
      <x:c r="A70" s="54" t="n">
        <x:v>68</x:v>
      </x:c>
      <x:c r="B70" s="54" t="str">
        <x:v>sky.mercury.square.saturn</x:v>
      </x:c>
      <x:c r="C70" s="54" t="str">
        <x:v>A hard contact. Communication, commerce, and contracts works against limitation, delay, and hard structure - obstruction, friction, and strained outcomes in these areas.</x:v>
      </x:c>
      <x:c r="D70" s="54" t="str">
        <x:v>Mind meets discipline. Serious, deep, careful thinking; apparent slowness that is caution, not lack of intelligence. Psychologically the square is inner tension to integrate: Brooding and mental heaviness; the remedy is keeping the mind on useful work. The growth is owning both sides instead of splitting them.</x:v>
      </x:c>
      <x:c r="E70" s="54" t="str">
        <x:v>First / Last Quarter</x:v>
      </x:c>
      <x:c r="F70" s="54" t="str">
        <x:v>Crisis of action: take conscious hold and build a durable form for thinking against limit, or be thrown off course.</x:v>
      </x:c>
      <x:c r="G70" s="54" t="str">
        <x:v>Crisis of meaning: break down the thinking/limit form that has outlived its purpose and reorient toward the next cycle.</x:v>
      </x:c>
      <x:c r="H70" s="54" t="str">
        <x:v>Friction in this area. Thorough and exacting, with little patience for small talk.</x:v>
      </x:c>
      <x:c r="I70" s="54" t="str">
        <x:v>Scattered overthinking collides with fear and rigidity; forcing or splitting it instead of working it through.</x:v>
      </x:c>
      <x:c r="J70" s="54" t="str">
        <x:v>Friction builds toward a forced adjustment.</x:v>
      </x:c>
      <x:c r="K70" s="54" t="str">
        <x:v>The crisis passes; what was restructured settles.</x:v>
      </x:c>
      <x:c r="L70" s="54" t="str">
        <x:v>Mind meets discipline. Serious, deep, careful thinking; apparent slowness that is caution, not lack of intelligence. Psychologically the square is inner tension to integrate: Brooding and mental heaviness; the remedy is keeping the mind on useful work. The growth is owning both sides instead of splitting them.</x:v>
      </x:c>
      <x:c r="M70" s="54" t="str">
        <x:v>{
  "traditional": "classical and traditional sources",
  "modern": "modern aspect cookbook (psychological / popular register)",
  "cyclic": "humanistic / process-oriented source (cyclic model)"
}</x:v>
      </x:c>
      <x:c r="N70" s="54" t="str">
        <x:v>1fe1ce0ac261621cc0b65d9d124f9ada7faa1bed659009afac3b947d73e0f1fc</x:v>
      </x:c>
      <x:c r="O70" s="54" t="str">
        <x:v>packages/astro-knowledge/data/transits/mercury-square-saturn.json</x:v>
      </x:c>
    </x:row>
    <x:row r="71" ht="90" customHeight="1">
      <x:c r="A71" s="54" t="n">
        <x:v>69</x:v>
      </x:c>
      <x:c r="B71" s="54" t="str">
        <x:v>sky.mercury.trine.saturn</x:v>
      </x:c>
      <x:c r="C71" s="54" t="str">
        <x:v>A soft contact. Communication, commerce, and contracts supports limitation, delay, and hard structure - cooperation and favorable conditions in these areas.</x:v>
      </x:c>
      <x:c r="D71" s="54" t="str">
        <x:v>Mind meets discipline. Serious, deep, careful thinking; apparent slowness that is caution, not lack of intelligence. The trine makes this a natural strength: Rigor, depth, and thoroughness. The growth edge is not to coast on the ease.</x:v>
      </x:c>
      <x:c r="E71" s="54" t="str">
        <x:v>Waxing / waning trine</x:v>
      </x:c>
      <x:c r="F71" s="54" t="str">
        <x:v>Thinking and limit flow together with ease; respond to the opportunity.</x:v>
      </x:c>
      <x:c r="G71" s="54" t="str">
        <x:v>Distribute and give transmissible form to what thinking and limit have realized.</x:v>
      </x:c>
      <x:c r="H71" s="54" t="str">
        <x:v>An opening in this area. Thorough and exacting, with little patience for small talk.</x:v>
      </x:c>
      <x:c r="I71" s="54" t="str">
        <x:v>The ease lets scattered overthinking and fear and rigidity go unchecked, or the opening pass unused.</x:v>
      </x:c>
      <x:c r="J71" s="54" t="str">
        <x:v>Ease and support build and arrive on their own.</x:v>
      </x:c>
      <x:c r="K71" s="54" t="str">
        <x:v>The ease withdraws; the flow passes, used or not.</x:v>
      </x:c>
      <x:c r="L71" s="54" t="str">
        <x:v>Mind meets discipline. Serious, deep, careful thinking; apparent slowness that is caution, not lack of intelligence. The trine makes this a natural strength: Rigor, depth, and thoroughness. The growth edge is not to coast on the ease.</x:v>
      </x:c>
      <x:c r="M71" s="54" t="str">
        <x:v>{
  "traditional": "classical and traditional sources",
  "modern": "modern aspect cookbook (psychological / popular register)",
  "cyclic": "humanistic / process-oriented source (cyclic model)"
}</x:v>
      </x:c>
      <x:c r="N71" s="54" t="str">
        <x:v>ebcfbf057c771cac1fb22237f5377c42c71292baab97a5ea8b4952c451a30c19</x:v>
      </x:c>
      <x:c r="O71" s="54" t="str">
        <x:v>packages/astro-knowledge/data/transits/mercury-trine-saturn.json</x:v>
      </x:c>
    </x:row>
    <x:row r="72" ht="90" customHeight="1">
      <x:c r="A72" s="54" t="n">
        <x:v>70</x:v>
      </x:c>
      <x:c r="B72" s="54" t="str">
        <x:v>sky.mercury.sextile.saturn</x:v>
      </x:c>
      <x:c r="C72" s="54" t="str">
        <x:v>A soft contact. Communication, commerce, and contracts supports limitation, delay, and hard structure - cooperation and favorable conditions in these areas.</x:v>
      </x:c>
      <x:c r="D72" s="54" t="str">
        <x:v>Mind meets discipline. Serious, deep, careful thinking; apparent slowness that is caution, not lack of intelligence. The sextile makes this a natural strength: Rigor, depth, and thoroughness. The growth edge is not to coast on the ease.</x:v>
      </x:c>
      <x:c r="E72" s="54" t="str">
        <x:v>Waxing / waning sextile</x:v>
      </x:c>
      <x:c r="F72" s="54" t="str">
        <x:v>A chance to organize thinking and limit into a new form; it must be actively taken up.</x:v>
      </x:c>
      <x:c r="G72" s="54" t="str">
        <x:v>Reorganize and share what thinking and limit have taught; communicate the insight.</x:v>
      </x:c>
      <x:c r="H72" s="54" t="str">
        <x:v>An opening in this area. Thorough and exacting, with little patience for small talk.</x:v>
      </x:c>
      <x:c r="I72" s="54" t="str">
        <x:v>The ease lets scattered overthinking and fear and rigidity go unchecked, or the opening pass unused.</x:v>
      </x:c>
      <x:c r="J72" s="54" t="str">
        <x:v>A supportive opening becomes available; offered, not automatic.</x:v>
      </x:c>
      <x:c r="K72" s="54" t="str">
        <x:v>The opening closes; unused, it passes.</x:v>
      </x:c>
      <x:c r="L72" s="54" t="str">
        <x:v>Mind meets discipline. Serious, deep, careful thinking; apparent slowness that is caution, not lack of intelligence. The sextile makes this a natural strength: Rigor, depth, and thoroughness. The growth edge is not to coast on the ease.</x:v>
      </x:c>
      <x:c r="M72" s="54" t="str">
        <x:v>{
  "traditional": "classical and traditional sources",
  "modern": "modern aspect cookbook (psychological / popular register)",
  "cyclic": "humanistic / process-oriented source (cyclic model)"
}</x:v>
      </x:c>
      <x:c r="N72" s="54" t="str">
        <x:v>0f8466ba748488de9e226c9de4e779ca8327d686501003192e2a22f0797194b5</x:v>
      </x:c>
      <x:c r="O72" s="54" t="str">
        <x:v>packages/astro-knowledge/data/transits/mercury-sextile-saturn.json</x:v>
      </x:c>
    </x:row>
    <x:row r="73" ht="90" customHeight="1">
      <x:c r="A73" s="54" t="n">
        <x:v>71</x:v>
      </x:c>
      <x:c r="B73" s="54" t="str">
        <x:v>sky.mercury.conjunction.uranus</x:v>
      </x:c>
      <x:c r="C73" s="54" t="str">
        <x:v>No classical doctrine: Uranus is a modern planet unknown to traditional astrology. Read from the modern and cyclic layers; treat this contact as a slow, generational background tone.</x:v>
      </x:c>
      <x:c r="D73" s="54" t="str">
        <x:v>The mind meets disruption and originality. Fast, unconventional, leap-of-insight thinking that resists linear order. Fused, these drives are difficult to separate and ask to be consciously integrated rather than acted out blindly.</x:v>
      </x:c>
      <x:c r="E73" s="54" t="str">
        <x:v>New (seed)</x:v>
      </x:c>
      <x:c r="F73" s="54" t="str"/>
      <x:c r="G73" s="54" t="str"/>
      <x:c r="H73" s="54" t="str">
        <x:v>Concentrated focus in this area. Strong for innovation, problem-solving, and tech; weak for routine detail and steady communication.</x:v>
      </x:c>
      <x:c r="I73" s="54" t="str">
        <x:v>Scattered overthinking fused with instability for its own sake, with no distance to tell them apart.</x:v>
      </x:c>
      <x:c r="J73" s="54" t="str">
        <x:v>The two fuse and intensify as they close in.</x:v>
      </x:c>
      <x:c r="K73" s="54" t="str">
        <x:v>The fused theme peaks and discharges.</x:v>
      </x:c>
      <x:c r="L73" s="54" t="str">
        <x:v>The mind meets disruption and originality. Fast, unconventional, leap-of-insight thinking that resists linear order. Fused, these drives are difficult to separate and ask to be consciously integrated rather than acted out blindly.</x:v>
      </x:c>
      <x:c r="M73" s="54" t="str">
        <x:v>{
  "traditional": "classical and traditional sources",
  "modern": "modern aspect cookbook (psychological / popular register)",
  "cyclic": "humanistic / process-oriented source (cyclic model)"
}</x:v>
      </x:c>
      <x:c r="N73" s="54" t="str">
        <x:v>f4c0494bb6d273cb8498d9659191841ab75ef29dbe96fa48d06094181a8a5ba1</x:v>
      </x:c>
      <x:c r="O73" s="54" t="str">
        <x:v>packages/astro-knowledge/data/transits/mercury-conjunction-uranus.json</x:v>
      </x:c>
    </x:row>
    <x:row r="74" ht="90" customHeight="1">
      <x:c r="A74" s="54" t="n">
        <x:v>72</x:v>
      </x:c>
      <x:c r="B74" s="54" t="str">
        <x:v>sky.mercury.opposition.uranus</x:v>
      </x:c>
      <x:c r="C74" s="54" t="str">
        <x:v>No classical doctrine: Uranus is a modern planet unknown to traditional astrology. Read from the modern and cyclic layers; treat this contact as a slow, generational background tone.</x:v>
      </x:c>
      <x:c r="D74" s="54" t="str">
        <x:v>The mind meets disruption and originality. Fast, unconventional, leap-of-insight thinking that resists linear order. Psychologically the opposition is inner tension to integrate: Scattered, jumpy thinking, nervous tension, and impatience with slow or conventional reasoning. The growth is owning both sides instead of splitting them.</x:v>
      </x:c>
      <x:c r="E74" s="54" t="str">
        <x:v>Full (culmination)</x:v>
      </x:c>
      <x:c r="F74" s="54" t="str"/>
      <x:c r="G74" s="54" t="str"/>
      <x:c r="H74" s="54" t="str">
        <x:v>Friction in this area. Strong for innovation, problem-solving, and tech; weak for routine detail and steady communication.</x:v>
      </x:c>
      <x:c r="I74" s="54" t="str">
        <x:v>Scattered overthinking collides with instability for its own sake; forcing or splitting it instead of working it through.</x:v>
      </x:c>
      <x:c r="J74" s="54" t="str">
        <x:v>A confrontation builds; the other side comes fully into view.</x:v>
      </x:c>
      <x:c r="K74" s="54" t="str">
        <x:v>The standoff resolves into balance or a split.</x:v>
      </x:c>
      <x:c r="L74" s="54" t="str">
        <x:v>The mind meets disruption and originality. Fast, unconventional, leap-of-insight thinking that resists linear order. Psychologically the opposition is inner tension to integrate: Scattered, jumpy thinking, nervous tension, and impatience with slow or conventional reasoning. The growth is owning both sides instead of splitting them.</x:v>
      </x:c>
      <x:c r="M74" s="54" t="str">
        <x:v>{
  "traditional": "classical and traditional sources",
  "modern": "modern aspect cookbook (psychological / popular register)",
  "cyclic": "humanistic / process-oriented source (cyclic model)"
}</x:v>
      </x:c>
      <x:c r="N74" s="54" t="str">
        <x:v>c6604ef173dcd2a23a9e4c55a53b6cabea88f9baa397eea3ebf229151068154b</x:v>
      </x:c>
      <x:c r="O74" s="54" t="str">
        <x:v>packages/astro-knowledge/data/transits/mercury-opposition-uranus.json</x:v>
      </x:c>
    </x:row>
    <x:row r="75" ht="90" customHeight="1">
      <x:c r="A75" s="54" t="n">
        <x:v>73</x:v>
      </x:c>
      <x:c r="B75" s="54" t="str">
        <x:v>sky.mercury.square.uranus</x:v>
      </x:c>
      <x:c r="C75" s="54" t="str">
        <x:v>No classical doctrine: Uranus is a modern planet unknown to traditional astrology. Read from the modern and cyclic layers; treat this contact as a slow, generational background tone.</x:v>
      </x:c>
      <x:c r="D75" s="54" t="str">
        <x:v>The mind meets disruption and originality. Fast, unconventional, leap-of-insight thinking that resists linear order. Psychologically the square is inner tension to integrate: Scattered, jumpy thinking, nervous tension, and impatience with slow or conventional reasoning. The growth is owning both sides instead of splitting them.</x:v>
      </x:c>
      <x:c r="E75" s="54" t="str">
        <x:v>First / Last Quarter</x:v>
      </x:c>
      <x:c r="F75" s="54" t="str">
        <x:v>Crisis of action: take conscious hold and build a durable form for thinking against disruption, or be thrown off course.</x:v>
      </x:c>
      <x:c r="G75" s="54" t="str">
        <x:v>Crisis of meaning: break down the thinking/disruption form that has outlived its purpose and reorient toward the next cycle.</x:v>
      </x:c>
      <x:c r="H75" s="54" t="str">
        <x:v>Friction in this area. Strong for innovation, problem-solving, and tech; weak for routine detail and steady communication.</x:v>
      </x:c>
      <x:c r="I75" s="54" t="str">
        <x:v>Scattered overthinking collides with instability for its own sake; forcing or splitting it instead of working it through.</x:v>
      </x:c>
      <x:c r="J75" s="54" t="str">
        <x:v>Friction builds toward a forced adjustment.</x:v>
      </x:c>
      <x:c r="K75" s="54" t="str">
        <x:v>The crisis passes; what was restructured settles.</x:v>
      </x:c>
      <x:c r="L75" s="54" t="str">
        <x:v>The mind meets disruption and originality. Fast, unconventional, leap-of-insight thinking that resists linear order. Psychologically the square is inner tension to integrate: Scattered, jumpy thinking, nervous tension, and impatience with slow or conventional reasoning. The growth is owning both sides instead of splitting them.</x:v>
      </x:c>
      <x:c r="M75" s="54" t="str">
        <x:v>{
  "traditional": "classical and traditional sources",
  "modern": "modern aspect cookbook (psychological / popular register)",
  "cyclic": "humanistic / process-oriented source (cyclic model)"
}</x:v>
      </x:c>
      <x:c r="N75" s="54" t="str">
        <x:v>868e65bd339470bb0a6204ff0f8b0e971574fb7f7b4ea6d2bbe3ae5d0664ae7d</x:v>
      </x:c>
      <x:c r="O75" s="54" t="str">
        <x:v>packages/astro-knowledge/data/transits/mercury-square-uranus.json</x:v>
      </x:c>
    </x:row>
    <x:row r="76" ht="90" customHeight="1">
      <x:c r="A76" s="54" t="n">
        <x:v>74</x:v>
      </x:c>
      <x:c r="B76" s="54" t="str">
        <x:v>sky.mercury.trine.uranus</x:v>
      </x:c>
      <x:c r="C76" s="54" t="str">
        <x:v>No classical doctrine: Uranus is a modern planet unknown to traditional astrology. Read from the modern and cyclic layers; treat this contact as a slow, generational background tone.</x:v>
      </x:c>
      <x:c r="D76" s="54" t="str">
        <x:v>The mind meets disruption and originality. Fast, unconventional, leap-of-insight thinking that resists linear order. The trine makes this a natural strength: Brilliant, inventive insight and quick grasp of new systems and technology. The growth edge is not to coast on the ease.</x:v>
      </x:c>
      <x:c r="E76" s="54" t="str">
        <x:v>Waxing / waning trine</x:v>
      </x:c>
      <x:c r="F76" s="54" t="str">
        <x:v>Thinking and disruption flow together with ease; respond to the opportunity.</x:v>
      </x:c>
      <x:c r="G76" s="54" t="str">
        <x:v>Distribute and give transmissible form to what thinking and disruption have realized.</x:v>
      </x:c>
      <x:c r="H76" s="54" t="str">
        <x:v>An opening in this area. Strong for innovation, problem-solving, and tech; weak for routine detail and steady communication.</x:v>
      </x:c>
      <x:c r="I76" s="54" t="str">
        <x:v>The ease lets scattered overthinking and instability for its own sake go unchecked, or the opening pass unused.</x:v>
      </x:c>
      <x:c r="J76" s="54" t="str">
        <x:v>Ease and support build and arrive on their own.</x:v>
      </x:c>
      <x:c r="K76" s="54" t="str">
        <x:v>The ease withdraws; the flow passes, used or not.</x:v>
      </x:c>
      <x:c r="L76" s="54" t="str">
        <x:v>The mind meets disruption and originality. Fast, unconventional, leap-of-insight thinking that resists linear order. The trine makes this a natural strength: Brilliant, inventive insight and quick grasp of new systems and technology. The growth edge is not to coast on the ease.</x:v>
      </x:c>
      <x:c r="M76" s="54" t="str">
        <x:v>{
  "traditional": "classical and traditional sources",
  "modern": "modern aspect cookbook (psychological / popular register)",
  "cyclic": "humanistic / process-oriented source (cyclic model)"
}</x:v>
      </x:c>
      <x:c r="N76" s="54" t="str">
        <x:v>68eda7ff739d58ef5a03e96d5614755e5511c667cdd091a43e3434e6b72c069d</x:v>
      </x:c>
      <x:c r="O76" s="54" t="str">
        <x:v>packages/astro-knowledge/data/transits/mercury-trine-uranus.json</x:v>
      </x:c>
    </x:row>
    <x:row r="77" ht="90" customHeight="1">
      <x:c r="A77" s="54" t="n">
        <x:v>75</x:v>
      </x:c>
      <x:c r="B77" s="54" t="str">
        <x:v>sky.mercury.sextile.uranus</x:v>
      </x:c>
      <x:c r="C77" s="54" t="str">
        <x:v>No classical doctrine: Uranus is a modern planet unknown to traditional astrology. Read from the modern and cyclic layers; treat this contact as a slow, generational background tone.</x:v>
      </x:c>
      <x:c r="D77" s="54" t="str">
        <x:v>The mind meets disruption and originality. Fast, unconventional, leap-of-insight thinking that resists linear order. The sextile makes this a natural strength: Brilliant, inventive insight and quick grasp of new systems and technology. The growth edge is not to coast on the ease.</x:v>
      </x:c>
      <x:c r="E77" s="54" t="str">
        <x:v>Waxing / waning sextile</x:v>
      </x:c>
      <x:c r="F77" s="54" t="str">
        <x:v>A chance to organize thinking and disruption into a new form; it must be actively taken up.</x:v>
      </x:c>
      <x:c r="G77" s="54" t="str">
        <x:v>Reorganize and share what thinking and disruption have taught; communicate the insight.</x:v>
      </x:c>
      <x:c r="H77" s="54" t="str">
        <x:v>An opening in this area. Strong for innovation, problem-solving, and tech; weak for routine detail and steady communication.</x:v>
      </x:c>
      <x:c r="I77" s="54" t="str">
        <x:v>The ease lets scattered overthinking and instability for its own sake go unchecked, or the opening pass unused.</x:v>
      </x:c>
      <x:c r="J77" s="54" t="str">
        <x:v>A supportive opening becomes available; offered, not automatic.</x:v>
      </x:c>
      <x:c r="K77" s="54" t="str">
        <x:v>The opening closes; unused, it passes.</x:v>
      </x:c>
      <x:c r="L77" s="54" t="str">
        <x:v>The mind meets disruption and originality. Fast, unconventional, leap-of-insight thinking that resists linear order. The sextile makes this a natural strength: Brilliant, inventive insight and quick grasp of new systems and technology. The growth edge is not to coast on the ease.</x:v>
      </x:c>
      <x:c r="M77" s="54" t="str">
        <x:v>{
  "traditional": "classical and traditional sources",
  "modern": "modern aspect cookbook (psychological / popular register)",
  "cyclic": "humanistic / process-oriented source (cyclic model)"
}</x:v>
      </x:c>
      <x:c r="N77" s="54" t="str">
        <x:v>bebfb2925d3f7c966303f2fe3cbc2319841ee28353e0b3de9a331ad0142f54cb</x:v>
      </x:c>
      <x:c r="O77" s="54" t="str">
        <x:v>packages/astro-knowledge/data/transits/mercury-sextile-uranus.json</x:v>
      </x:c>
    </x:row>
    <x:row r="78" ht="90" customHeight="1">
      <x:c r="A78" s="54" t="n">
        <x:v>76</x:v>
      </x:c>
      <x:c r="B78" s="54" t="str">
        <x:v>sky.mercury.conjunction.venus</x:v>
      </x:c>
      <x:c r="C78" s="54" t="str">
        <x:v>Communication, commerce, and contracts fused with love, money, and pleasure. The two act as one and the combined significations are hard to separate.</x:v>
      </x:c>
      <x:c r="D78" s="54" t="str">
        <x:v>Mind meets charm. Speech and thought take on grace and an artistic flair. Only the conjunction and sextile are possible. Fused, these drives are difficult to separate and ask to be consciously integrated rather than acted out blindly.</x:v>
      </x:c>
      <x:c r="E78" s="54" t="str">
        <x:v>New (seed)</x:v>
      </x:c>
      <x:c r="F78" s="54" t="str"/>
      <x:c r="G78" s="54" t="str"/>
      <x:c r="H78" s="54" t="str">
        <x:v>Concentrated focus in this area. Diplomacy, the arts, and any work where pleasant, persuasive expression matters.</x:v>
      </x:c>
      <x:c r="I78" s="54" t="str">
        <x:v>Scattered overthinking fused with indulgence and vanity, with no distance to tell them apart.</x:v>
      </x:c>
      <x:c r="J78" s="54" t="str">
        <x:v>The two fuse and intensify as they close in.</x:v>
      </x:c>
      <x:c r="K78" s="54" t="str">
        <x:v>The fused theme peaks and discharges.</x:v>
      </x:c>
      <x:c r="L78" s="54" t="str">
        <x:v>Mind meets charm. Speech and thought take on grace and an artistic flair. Only the conjunction and sextile are possible. Fused, these drives are difficult to separate and ask to be consciously integrated rather than acted out blindly.</x:v>
      </x:c>
      <x:c r="M78" s="54" t="str">
        <x:v>{
  "traditional": "classical and traditional sources",
  "modern": "modern aspect cookbook (psychological / popular register)",
  "cyclic": "humanistic / process-oriented source (cyclic model)"
}</x:v>
      </x:c>
      <x:c r="N78" s="54" t="str">
        <x:v>fcdab23ad544f0070e807e5932b892d238a45ef4474ca5c6f17aa86d3d5982b1</x:v>
      </x:c>
      <x:c r="O78" s="54" t="str">
        <x:v>packages/astro-knowledge/data/transits/mercury-conjunction-venus.json</x:v>
      </x:c>
    </x:row>
    <x:row r="79" ht="90" customHeight="1">
      <x:c r="A79" s="54" t="n">
        <x:v>77</x:v>
      </x:c>
      <x:c r="B79" s="54" t="str">
        <x:v>sky.mercury.sextile.venus</x:v>
      </x:c>
      <x:c r="C79" s="54" t="str">
        <x:v>A soft contact. Communication, commerce, and contracts supports love, money, and pleasure - cooperation and favorable conditions in these areas.</x:v>
      </x:c>
      <x:c r="D79" s="54" t="str">
        <x:v>Mind meets charm. Speech and thought take on grace and an artistic flair. Only the conjunction and sextile are possible. The sextile makes this a natural strength: Smooth, pleasant, persuasive communication. The growth edge is not to coast on the ease.</x:v>
      </x:c>
      <x:c r="E79" s="54" t="str">
        <x:v>Waxing / waning sextile</x:v>
      </x:c>
      <x:c r="F79" s="54" t="str">
        <x:v>A chance to organize thinking and connection into a new form; it must be actively taken up.</x:v>
      </x:c>
      <x:c r="G79" s="54" t="str">
        <x:v>Reorganize and share what thinking and connection have taught; communicate the insight.</x:v>
      </x:c>
      <x:c r="H79" s="54" t="str">
        <x:v>An opening in this area. Diplomacy, the arts, and any work where pleasant, persuasive expression matters.</x:v>
      </x:c>
      <x:c r="I79" s="54" t="str">
        <x:v>The ease lets scattered overthinking and indulgence and vanity go unchecked, or the opening pass unused.</x:v>
      </x:c>
      <x:c r="J79" s="54" t="str">
        <x:v>A supportive opening becomes available; offered, not automatic.</x:v>
      </x:c>
      <x:c r="K79" s="54" t="str">
        <x:v>The opening closes; unused, it passes.</x:v>
      </x:c>
      <x:c r="L79" s="54" t="str">
        <x:v>Mind meets charm. Speech and thought take on grace and an artistic flair. Only the conjunction and sextile are possible. The sextile makes this a natural strength: Smooth, pleasant, persuasive communication. The growth edge is not to coast on the ease.</x:v>
      </x:c>
      <x:c r="M79" s="54" t="str">
        <x:v>{
  "traditional": "classical and traditional sources",
  "modern": "modern aspect cookbook (psychological / popular register)",
  "cyclic": "humanistic / process-oriented source (cyclic model)"
}</x:v>
      </x:c>
      <x:c r="N79" s="54" t="str">
        <x:v>1edbe44b2370c8f30bd30e372704b05e9bca3c23d752d716eaf105a9294da61f</x:v>
      </x:c>
      <x:c r="O79" s="54" t="str">
        <x:v>packages/astro-knowledge/data/transits/mercury-sextile-venus.json</x:v>
      </x:c>
    </x:row>
    <x:row r="80" ht="90" customHeight="1">
      <x:c r="A80" s="54" t="n">
        <x:v>78</x:v>
      </x:c>
      <x:c r="B80" s="54" t="str">
        <x:v>sky.moon.conjunction.jupiter</x:v>
      </x:c>
      <x:c r="C80" s="54" t="str">
        <x:v>the Moon conjunct Jupiter: the body, home, and daily needs fused with growth, fortune, and patronage. The two act as one and the combined significations are hard to separate.</x:v>
      </x:c>
      <x:c r="D80" s="54" t="str">
        <x:v>Feelings meet optimism and expansion. A resilient inner buoyancy that recovers no matter what, plus real generosity. Fused, these drives are difficult to separate and ask to be consciously integrated rather than acted out blindly.</x:v>
      </x:c>
      <x:c r="E80" s="54" t="str">
        <x:v>New (seed)</x:v>
      </x:c>
      <x:c r="F80" s="54" t="str"/>
      <x:c r="G80" s="54" t="str"/>
      <x:c r="H80" s="54" t="str">
        <x:v>Concentrated focus in this area. Warmth and generosity that draw people in; watch the tendency to overextend.</x:v>
      </x:c>
      <x:c r="I80" s="54" t="str">
        <x:v>Moodiness and over-need fused with excess and overreach, with no distance to tell them apart.</x:v>
      </x:c>
      <x:c r="J80" s="54" t="str">
        <x:v>The two fuse and intensify as they close in.</x:v>
      </x:c>
      <x:c r="K80" s="54" t="str">
        <x:v>The fused theme peaks and discharges.</x:v>
      </x:c>
      <x:c r="L80" s="54" t="str">
        <x:v>Feelings meet optimism and expansion. A resilient inner buoyancy that recovers no matter what, plus real generosity. Fused, these drives are difficult to separate and ask to be consciously integrated rather than acted out blindly.</x:v>
      </x:c>
      <x:c r="M80" s="54" t="str">
        <x:v>{
  "traditional": "classical and traditional sources",
  "modern": "modern aspect cookbook (psychological / popular register)",
  "cyclic": "humanistic / process-oriented source (cyclic model)"
}</x:v>
      </x:c>
      <x:c r="N80" s="54" t="str">
        <x:v>65c97801a27530fca57b80083685dab17948c422ddda059b72921ad9126d20f3</x:v>
      </x:c>
      <x:c r="O80" s="54" t="str">
        <x:v>packages/astro-knowledge/data/transits/moon-conjunction-jupiter.json</x:v>
      </x:c>
    </x:row>
    <x:row r="81" ht="90" customHeight="1">
      <x:c r="A81" s="54" t="n">
        <x:v>79</x:v>
      </x:c>
      <x:c r="B81" s="54" t="str">
        <x:v>sky.moon.opposition.jupiter</x:v>
      </x:c>
      <x:c r="C81" s="54" t="str">
        <x:v>the Moon opposition Jupiter: a hard contact. The body, home, and daily needs works against growth, fortune, and patronage - obstruction, friction, and strained outcomes in these areas.</x:v>
      </x:c>
      <x:c r="D81" s="54" t="str">
        <x:v>Feelings meet optimism and expansion. A resilient inner buoyancy that recovers no matter what, plus real generosity. Psychologically the opposition is inner tension to integrate: Emotional and physical excess; overindulgence and overcommitment. The growth is owning both sides instead of splitting them.</x:v>
      </x:c>
      <x:c r="E81" s="54" t="str">
        <x:v>Full (culmination)</x:v>
      </x:c>
      <x:c r="F81" s="54" t="str"/>
      <x:c r="G81" s="54" t="str"/>
      <x:c r="H81" s="54" t="str">
        <x:v>Friction in this area. Warmth and generosity that draw people in; watch the tendency to overextend.</x:v>
      </x:c>
      <x:c r="I81" s="54" t="str">
        <x:v>Moodiness and over-need collides with excess and overreach; forcing or splitting it instead of working it through.</x:v>
      </x:c>
      <x:c r="J81" s="54" t="str">
        <x:v>A confrontation builds; the other side comes fully into view.</x:v>
      </x:c>
      <x:c r="K81" s="54" t="str">
        <x:v>The standoff resolves into balance or a split.</x:v>
      </x:c>
      <x:c r="L81" s="54" t="str">
        <x:v>Feelings meet optimism and expansion. A resilient inner buoyancy that recovers no matter what, plus real generosity. Psychologically the opposition is inner tension to integrate: Emotional and physical excess; overindulgence and overcommitment. The growth is owning both sides instead of splitting them.</x:v>
      </x:c>
      <x:c r="M81" s="54" t="str">
        <x:v>{
  "traditional": "classical and traditional sources",
  "modern": "modern aspect cookbook (psychological / popular register)",
  "cyclic": "humanistic / process-oriented source (cyclic model)"
}</x:v>
      </x:c>
      <x:c r="N81" s="54" t="str">
        <x:v>4ee7a462657dff510823a71a2a131ecf9b01bdaf568a5e39104acfa7ce1591c4</x:v>
      </x:c>
      <x:c r="O81" s="54" t="str">
        <x:v>packages/astro-knowledge/data/transits/moon-opposition-jupiter.json</x:v>
      </x:c>
    </x:row>
    <x:row r="82" ht="90" customHeight="1">
      <x:c r="A82" s="54" t="n">
        <x:v>80</x:v>
      </x:c>
      <x:c r="B82" s="54" t="str">
        <x:v>sky.moon.square.jupiter</x:v>
      </x:c>
      <x:c r="C82" s="54" t="str">
        <x:v>the Moon square Jupiter: a hard contact. The body, home, and daily needs works against growth, fortune, and patronage - obstruction, friction, and strained outcomes in these areas.</x:v>
      </x:c>
      <x:c r="D82" s="54" t="str">
        <x:v>Feelings meet optimism and expansion. A resilient inner buoyancy that recovers no matter what, plus real generosity. Psychologically the square is inner tension to integrate: Emotional and physical excess; overindulgence and overcommitment. The growth is owning both sides instead of splitting them.</x:v>
      </x:c>
      <x:c r="E82" s="54" t="str">
        <x:v>First / Last Quarter</x:v>
      </x:c>
      <x:c r="F82" s="54" t="str">
        <x:v>Crisis of action: take conscious hold and build a durable form for feeling against growth, or be thrown off course.</x:v>
      </x:c>
      <x:c r="G82" s="54" t="str">
        <x:v>Crisis of meaning: break down the feeling/growth form that has outlived its purpose and reorient toward the next cycle.</x:v>
      </x:c>
      <x:c r="H82" s="54" t="str">
        <x:v>Friction in this area. Warmth and generosity that draw people in; watch the tendency to overextend.</x:v>
      </x:c>
      <x:c r="I82" s="54" t="str">
        <x:v>Moodiness and over-need collides with excess and overreach; forcing or splitting it instead of working it through.</x:v>
      </x:c>
      <x:c r="J82" s="54" t="str">
        <x:v>Friction builds toward a forced adjustment.</x:v>
      </x:c>
      <x:c r="K82" s="54" t="str">
        <x:v>The crisis passes; what was restructured settles.</x:v>
      </x:c>
      <x:c r="L82" s="54" t="str">
        <x:v>Feelings meet optimism and expansion. A resilient inner buoyancy that recovers no matter what, plus real generosity. Psychologically the square is inner tension to integrate: Emotional and physical excess; overindulgence and overcommitment. The growth is owning both sides instead of splitting them.</x:v>
      </x:c>
      <x:c r="M82" s="54" t="str">
        <x:v>{
  "traditional": "classical and traditional sources",
  "modern": "modern aspect cookbook (psychological / popular register)",
  "cyclic": "humanistic / process-oriented source (cyclic model)"
}</x:v>
      </x:c>
      <x:c r="N82" s="54" t="str">
        <x:v>f19eca7c6703ed2ee65234094206a4a4f7e6b2ae229039c892747e52a903e275</x:v>
      </x:c>
      <x:c r="O82" s="54" t="str">
        <x:v>packages/astro-knowledge/data/transits/moon-square-jupiter.json</x:v>
      </x:c>
    </x:row>
    <x:row r="83" ht="90" customHeight="1">
      <x:c r="A83" s="54" t="n">
        <x:v>81</x:v>
      </x:c>
      <x:c r="B83" s="54" t="str">
        <x:v>sky.moon.trine.jupiter</x:v>
      </x:c>
      <x:c r="C83" s="54" t="str">
        <x:v>the Moon trine Jupiter: a soft contact. The body, home, and daily needs supports growth, fortune, and patronage - cooperation and favorable conditions in these areas.</x:v>
      </x:c>
      <x:c r="D83" s="54" t="str">
        <x:v>Feelings meet optimism and expansion. A resilient inner buoyancy that recovers no matter what, plus real generosity. The trine makes this a natural strength: Emotional warmth and an instinct to give. The growth edge is not to coast on the ease.</x:v>
      </x:c>
      <x:c r="E83" s="54" t="str">
        <x:v>Waxing / waning trine</x:v>
      </x:c>
      <x:c r="F83" s="54" t="str">
        <x:v>Feeling and growth flow together with ease; respond to the opportunity.</x:v>
      </x:c>
      <x:c r="G83" s="54" t="str">
        <x:v>Distribute and give transmissible form to what feeling and growth have realized.</x:v>
      </x:c>
      <x:c r="H83" s="54" t="str">
        <x:v>An opening in this area. Warmth and generosity that draw people in; watch the tendency to overextend.</x:v>
      </x:c>
      <x:c r="I83" s="54" t="str">
        <x:v>The ease lets moodiness and over-need and excess and overreach go unchecked, or the opening pass unused.</x:v>
      </x:c>
      <x:c r="J83" s="54" t="str">
        <x:v>Ease and support build and arrive on their own.</x:v>
      </x:c>
      <x:c r="K83" s="54" t="str">
        <x:v>The ease withdraws; the flow passes, used or not.</x:v>
      </x:c>
      <x:c r="L83" s="54" t="str">
        <x:v>Feelings meet optimism and expansion. A resilient inner buoyancy that recovers no matter what, plus real generosity. The trine makes this a natural strength: Emotional warmth and an instinct to give. The growth edge is not to coast on the ease.</x:v>
      </x:c>
      <x:c r="M83" s="54" t="str">
        <x:v>{
  "traditional": "classical and traditional sources",
  "modern": "modern aspect cookbook (psychological / popular register)",
  "cyclic": "humanistic / process-oriented source (cyclic model)"
}</x:v>
      </x:c>
      <x:c r="N83" s="54" t="str">
        <x:v>b609b4ff54ec3317a20bf8fd523145817589abba5bc7fec82f785ea6798d3dcf</x:v>
      </x:c>
      <x:c r="O83" s="54" t="str">
        <x:v>packages/astro-knowledge/data/transits/moon-trine-jupiter.json</x:v>
      </x:c>
    </x:row>
    <x:row r="84" ht="90" customHeight="1">
      <x:c r="A84" s="54" t="n">
        <x:v>82</x:v>
      </x:c>
      <x:c r="B84" s="54" t="str">
        <x:v>sky.moon.sextile.jupiter</x:v>
      </x:c>
      <x:c r="C84" s="54" t="str">
        <x:v>the Moon sextile Jupiter: a soft contact. The body, home, and daily needs supports growth, fortune, and patronage - cooperation and favorable conditions in these areas.</x:v>
      </x:c>
      <x:c r="D84" s="54" t="str">
        <x:v>Feelings meet optimism and expansion. A resilient inner buoyancy that recovers no matter what, plus real generosity. The sextile makes this a natural strength: Emotional warmth and an instinct to give. The growth edge is not to coast on the ease.</x:v>
      </x:c>
      <x:c r="E84" s="54" t="str">
        <x:v>Waxing / waning sextile</x:v>
      </x:c>
      <x:c r="F84" s="54" t="str">
        <x:v>A chance to organize feeling and growth into a new form; it must be actively taken up.</x:v>
      </x:c>
      <x:c r="G84" s="54" t="str">
        <x:v>Reorganize and share what feeling and growth have taught; communicate the insight.</x:v>
      </x:c>
      <x:c r="H84" s="54" t="str">
        <x:v>An opening in this area. Warmth and generosity that draw people in; watch the tendency to overextend.</x:v>
      </x:c>
      <x:c r="I84" s="54" t="str">
        <x:v>The ease lets moodiness and over-need and excess and overreach go unchecked, or the opening pass unused.</x:v>
      </x:c>
      <x:c r="J84" s="54" t="str">
        <x:v>A supportive opening becomes available; offered, not automatic.</x:v>
      </x:c>
      <x:c r="K84" s="54" t="str">
        <x:v>The opening closes; unused, it passes.</x:v>
      </x:c>
      <x:c r="L84" s="54" t="str">
        <x:v>Feelings meet optimism and expansion. A resilient inner buoyancy that recovers no matter what, plus real generosity. The sextile makes this a natural strength: Emotional warmth and an instinct to give. The growth edge is not to coast on the ease.</x:v>
      </x:c>
      <x:c r="M84" s="54" t="str">
        <x:v>{
  "traditional": "classical and traditional sources",
  "modern": "modern aspect cookbook (psychological / popular register)",
  "cyclic": "humanistic / process-oriented source (cyclic model)"
}</x:v>
      </x:c>
      <x:c r="N84" s="54" t="str">
        <x:v>aaba8e0022243e08e58565d46571d5be7b52becb55813e11467031878993729e</x:v>
      </x:c>
      <x:c r="O84" s="54" t="str">
        <x:v>packages/astro-knowledge/data/transits/moon-sextile-jupiter.json</x:v>
      </x:c>
    </x:row>
    <x:row r="85" ht="90" customHeight="1">
      <x:c r="A85" s="54" t="n">
        <x:v>83</x:v>
      </x:c>
      <x:c r="B85" s="54" t="str">
        <x:v>sky.moon.conjunction.mars</x:v>
      </x:c>
      <x:c r="C85" s="54" t="str">
        <x:v>the Moon conjunct Mars: the body, home, and daily needs fused with action, conflict, and heat. The two act as one and the combined significations are hard to separate.</x:v>
      </x:c>
      <x:c r="D85" s="54" t="str">
        <x:v>Emotion meets drive and aggression. Feelings are energized and the instinct is to act on them. Fused, these drives are difficult to separate and ask to be consciously integrated rather than acted out blindly.</x:v>
      </x:c>
      <x:c r="E85" s="54" t="str">
        <x:v>New (seed)</x:v>
      </x:c>
      <x:c r="F85" s="54" t="str"/>
      <x:c r="G85" s="54" t="str"/>
      <x:c r="H85" s="54" t="str">
        <x:v>Concentrated focus in this area. Drive powered by feeling; the work is managing reactivity.</x:v>
      </x:c>
      <x:c r="I85" s="54" t="str">
        <x:v>Moodiness and over-need fused with anger and recklessness, with no distance to tell them apart.</x:v>
      </x:c>
      <x:c r="J85" s="54" t="str">
        <x:v>The two fuse and intensify as they close in.</x:v>
      </x:c>
      <x:c r="K85" s="54" t="str">
        <x:v>The fused theme peaks and discharges.</x:v>
      </x:c>
      <x:c r="L85" s="54" t="str">
        <x:v>Emotion meets drive and aggression. Feelings are energized and the instinct is to act on them. Fused, these drives are difficult to separate and ask to be consciously integrated rather than acted out blindly.</x:v>
      </x:c>
      <x:c r="M85" s="54" t="str">
        <x:v>{
  "traditional": "classical and traditional sources",
  "modern": "modern aspect cookbook (psychological / popular register)",
  "cyclic": "humanistic / process-oriented source (cyclic model)"
}</x:v>
      </x:c>
      <x:c r="N85" s="54" t="str">
        <x:v>31bcdec1464b7119e6a07558cfbbba0971b3a965cedcfb71a9be67a180a11461</x:v>
      </x:c>
      <x:c r="O85" s="54" t="str">
        <x:v>packages/astro-knowledge/data/transits/moon-conjunction-mars.json</x:v>
      </x:c>
    </x:row>
    <x:row r="86" ht="90" customHeight="1">
      <x:c r="A86" s="54" t="n">
        <x:v>84</x:v>
      </x:c>
      <x:c r="B86" s="54" t="str">
        <x:v>sky.moon.opposition.mars</x:v>
      </x:c>
      <x:c r="C86" s="54" t="str">
        <x:v>the Moon opposition Mars: a hard contact. The body, home, and daily needs works against action, conflict, and heat - obstruction, friction, and strained outcomes in these areas.</x:v>
      </x:c>
      <x:c r="D86" s="54" t="str">
        <x:v>Emotion meets drive and aggression. Feelings are energized and the instinct is to act on them. Psychologically the opposition is inner tension to integrate: Short temper and reactive conflict, defensiveness even when nothing is wrong. The emotions need channeling. The growth is owning both sides instead of splitting them.</x:v>
      </x:c>
      <x:c r="E86" s="54" t="str">
        <x:v>Full (culmination)</x:v>
      </x:c>
      <x:c r="F86" s="54" t="str"/>
      <x:c r="G86" s="54" t="str"/>
      <x:c r="H86" s="54" t="str">
        <x:v>Friction in this area. Drive powered by feeling; the work is managing reactivity.</x:v>
      </x:c>
      <x:c r="I86" s="54" t="str">
        <x:v>Moodiness and over-need collides with anger and recklessness; forcing or splitting it instead of working it through.</x:v>
      </x:c>
      <x:c r="J86" s="54" t="str">
        <x:v>A confrontation builds; the other side comes fully into view.</x:v>
      </x:c>
      <x:c r="K86" s="54" t="str">
        <x:v>The standoff resolves into balance or a split.</x:v>
      </x:c>
      <x:c r="L86" s="54" t="str">
        <x:v>Emotion meets drive and aggression. Feelings are energized and the instinct is to act on them. Psychologically the opposition is inner tension to integrate: Short temper and reactive conflict, defensiveness even when nothing is wrong. The emotions need channeling. The growth is owning both sides instead of splitting them.</x:v>
      </x:c>
      <x:c r="M86" s="54" t="str">
        <x:v>{
  "traditional": "classical and traditional sources",
  "modern": "modern aspect cookbook (psychological / popular register)",
  "cyclic": "humanistic / process-oriented source (cyclic model)"
}</x:v>
      </x:c>
      <x:c r="N86" s="54" t="str">
        <x:v>66d8dbcd5e44e166e3ea992fc957329b889c31dbeee64fc06dc04e645e3af513</x:v>
      </x:c>
      <x:c r="O86" s="54" t="str">
        <x:v>packages/astro-knowledge/data/transits/moon-opposition-mars.json</x:v>
      </x:c>
    </x:row>
    <x:row r="87" ht="90" customHeight="1">
      <x:c r="A87" s="54" t="n">
        <x:v>85</x:v>
      </x:c>
      <x:c r="B87" s="54" t="str">
        <x:v>sky.moon.square.mars</x:v>
      </x:c>
      <x:c r="C87" s="54" t="str">
        <x:v>the Moon square Mars: a hard contact. The body, home, and daily needs works against action, conflict, and heat - obstruction, friction, and strained outcomes in these areas.</x:v>
      </x:c>
      <x:c r="D87" s="54" t="str">
        <x:v>Emotion meets drive and aggression. Feelings are energized and the instinct is to act on them. Psychologically the square is inner tension to integrate: Short temper and reactive conflict, defensiveness even when nothing is wrong. The emotions need channeling. The growth is owning both sides instead of splitting them.</x:v>
      </x:c>
      <x:c r="E87" s="54" t="str">
        <x:v>First / Last Quarter</x:v>
      </x:c>
      <x:c r="F87" s="54" t="str">
        <x:v>Crisis of action: take conscious hold and build a durable form for feeling against drive, or be thrown off course.</x:v>
      </x:c>
      <x:c r="G87" s="54" t="str">
        <x:v>Crisis of meaning: break down the feeling/drive form that has outlived its purpose and reorient toward the next cycle.</x:v>
      </x:c>
      <x:c r="H87" s="54" t="str">
        <x:v>Friction in this area. Drive powered by feeling; the work is managing reactivity.</x:v>
      </x:c>
      <x:c r="I87" s="54" t="str">
        <x:v>Moodiness and over-need collides with anger and recklessness; forcing or splitting it instead of working it through.</x:v>
      </x:c>
      <x:c r="J87" s="54" t="str">
        <x:v>Friction builds toward a forced adjustment.</x:v>
      </x:c>
      <x:c r="K87" s="54" t="str">
        <x:v>The crisis passes; what was restructured settles.</x:v>
      </x:c>
      <x:c r="L87" s="54" t="str">
        <x:v>Emotion meets drive and aggression. Feelings are energized and the instinct is to act on them. Psychologically the square is inner tension to integrate: Short temper and reactive conflict, defensiveness even when nothing is wrong. The emotions need channeling. The growth is owning both sides instead of splitting them.</x:v>
      </x:c>
      <x:c r="M87" s="54" t="str">
        <x:v>{
  "traditional": "classical and traditional sources",
  "modern": "modern aspect cookbook (psychological / popular register)",
  "cyclic": "humanistic / process-oriented source (cyclic model)"
}</x:v>
      </x:c>
      <x:c r="N87" s="54" t="str">
        <x:v>f6d3fb767b491375420711570e9a333d1ee2ef9ab5d2e9f9d328529f73378397</x:v>
      </x:c>
      <x:c r="O87" s="54" t="str">
        <x:v>packages/astro-knowledge/data/transits/moon-square-mars.json</x:v>
      </x:c>
    </x:row>
    <x:row r="88" ht="90" customHeight="1">
      <x:c r="A88" s="54" t="n">
        <x:v>86</x:v>
      </x:c>
      <x:c r="B88" s="54" t="str">
        <x:v>sky.moon.trine.mars</x:v>
      </x:c>
      <x:c r="C88" s="54" t="str">
        <x:v>the Moon trine Mars: a soft contact. The body, home, and daily needs supports action, conflict, and heat - cooperation and favorable conditions in these areas.</x:v>
      </x:c>
      <x:c r="D88" s="54" t="str">
        <x:v>Emotion meets drive and aggression. Feelings are energized and the instinct is to act on them. The trine makes this a natural strength: Emotional energy fuels getting things done; lively, active imagination. The growth edge is not to coast on the ease.</x:v>
      </x:c>
      <x:c r="E88" s="54" t="str">
        <x:v>Waxing / waning trine</x:v>
      </x:c>
      <x:c r="F88" s="54" t="str">
        <x:v>Feeling and drive flow together with ease; respond to the opportunity.</x:v>
      </x:c>
      <x:c r="G88" s="54" t="str">
        <x:v>Distribute and give transmissible form to what feeling and drive have realized.</x:v>
      </x:c>
      <x:c r="H88" s="54" t="str">
        <x:v>An opening in this area. Drive powered by feeling; the work is managing reactivity.</x:v>
      </x:c>
      <x:c r="I88" s="54" t="str">
        <x:v>The ease lets moodiness and over-need and anger and recklessness go unchecked, or the opening pass unused.</x:v>
      </x:c>
      <x:c r="J88" s="54" t="str">
        <x:v>Ease and support build and arrive on their own.</x:v>
      </x:c>
      <x:c r="K88" s="54" t="str">
        <x:v>The ease withdraws; the flow passes, used or not.</x:v>
      </x:c>
      <x:c r="L88" s="54" t="str">
        <x:v>Emotion meets drive and aggression. Feelings are energized and the instinct is to act on them. The trine makes this a natural strength: Emotional energy fuels getting things done; lively, active imagination. The growth edge is not to coast on the ease.</x:v>
      </x:c>
      <x:c r="M88" s="54" t="str">
        <x:v>{
  "traditional": "classical and traditional sources",
  "modern": "modern aspect cookbook (psychological / popular register)",
  "cyclic": "humanistic / process-oriented source (cyclic model)"
}</x:v>
      </x:c>
      <x:c r="N88" s="54" t="str">
        <x:v>b3b01f3708247b46fa8c0420b753b49a12d8076b3339645dc96edda99ee0b7de</x:v>
      </x:c>
      <x:c r="O88" s="54" t="str">
        <x:v>packages/astro-knowledge/data/transits/moon-trine-mars.json</x:v>
      </x:c>
    </x:row>
    <x:row r="89" ht="90" customHeight="1">
      <x:c r="A89" s="54" t="n">
        <x:v>87</x:v>
      </x:c>
      <x:c r="B89" s="54" t="str">
        <x:v>sky.moon.sextile.mars</x:v>
      </x:c>
      <x:c r="C89" s="54" t="str">
        <x:v>the Moon sextile Mars: a soft contact. The body, home, and daily needs supports action, conflict, and heat - cooperation and favorable conditions in these areas.</x:v>
      </x:c>
      <x:c r="D89" s="54" t="str">
        <x:v>Emotion meets drive and aggression. Feelings are energized and the instinct is to act on them. The sextile makes this a natural strength: Emotional energy fuels getting things done; lively, active imagination. The growth edge is not to coast on the ease.</x:v>
      </x:c>
      <x:c r="E89" s="54" t="str">
        <x:v>Waxing / waning sextile</x:v>
      </x:c>
      <x:c r="F89" s="54" t="str">
        <x:v>A chance to organize feeling and drive into a new form; it must be actively taken up.</x:v>
      </x:c>
      <x:c r="G89" s="54" t="str">
        <x:v>Reorganize and share what feeling and drive have taught; communicate the insight.</x:v>
      </x:c>
      <x:c r="H89" s="54" t="str">
        <x:v>An opening in this area. Drive powered by feeling; the work is managing reactivity.</x:v>
      </x:c>
      <x:c r="I89" s="54" t="str">
        <x:v>The ease lets moodiness and over-need and anger and recklessness go unchecked, or the opening pass unused.</x:v>
      </x:c>
      <x:c r="J89" s="54" t="str">
        <x:v>A supportive opening becomes available; offered, not automatic.</x:v>
      </x:c>
      <x:c r="K89" s="54" t="str">
        <x:v>The opening closes; unused, it passes.</x:v>
      </x:c>
      <x:c r="L89" s="54" t="str">
        <x:v>Emotion meets drive and aggression. Feelings are energized and the instinct is to act on them. The sextile makes this a natural strength: Emotional energy fuels getting things done; lively, active imagination. The growth edge is not to coast on the ease.</x:v>
      </x:c>
      <x:c r="M89" s="54" t="str">
        <x:v>{
  "traditional": "classical and traditional sources",
  "modern": "modern aspect cookbook (psychological / popular register)",
  "cyclic": "humanistic / process-oriented source (cyclic model)"
}</x:v>
      </x:c>
      <x:c r="N89" s="54" t="str">
        <x:v>bb0b1ef0ff4f68620d84183aa3fb36747d1a48106f640e45cb43144f23c7dcd3</x:v>
      </x:c>
      <x:c r="O89" s="54" t="str">
        <x:v>packages/astro-knowledge/data/transits/moon-sextile-mars.json</x:v>
      </x:c>
    </x:row>
    <x:row r="90" ht="90" customHeight="1">
      <x:c r="A90" s="54" t="n">
        <x:v>88</x:v>
      </x:c>
      <x:c r="B90" s="54" t="str">
        <x:v>sky.moon.conjunction.mercury</x:v>
      </x:c>
      <x:c r="C90" s="54" t="str">
        <x:v>the Moon conjunct Mercury: the body, home, and daily needs fused with communication, commerce, and contracts. The two act as one and the combined significations are hard to separate.</x:v>
      </x:c>
      <x:c r="D90" s="54" t="str">
        <x:v>Emotion meets mind. How feeling and thinking inform each other, and how readily the inner life gets put into words. Fused, these drives are difficult to separate and ask to be consciously integrated rather than acted out blindly.</x:v>
      </x:c>
      <x:c r="E90" s="54" t="str">
        <x:v>New (seed)</x:v>
      </x:c>
      <x:c r="F90" s="54" t="str"/>
      <x:c r="G90" s="54" t="str"/>
      <x:c r="H90" s="54" t="str">
        <x:v>Concentrated focus in this area. Communication colored by mood; powerful when feeling and reasoning are integrated.</x:v>
      </x:c>
      <x:c r="I90" s="54" t="str">
        <x:v>Moodiness and over-need fused with scattered overthinking, with no distance to tell them apart.</x:v>
      </x:c>
      <x:c r="J90" s="54" t="str">
        <x:v>The two fuse and intensify as they close in.</x:v>
      </x:c>
      <x:c r="K90" s="54" t="str">
        <x:v>The fused theme peaks and discharges.</x:v>
      </x:c>
      <x:c r="L90" s="54" t="str">
        <x:v>Emotion meets mind. How feeling and thinking inform each other, and how readily the inner life gets put into words. Fused, these drives are difficult to separate and ask to be consciously integrated rather than acted out blindly.</x:v>
      </x:c>
      <x:c r="M90" s="54" t="str">
        <x:v>{
  "traditional": "classical and traditional sources",
  "modern": "modern aspect cookbook (psychological / popular register)",
  "cyclic": "humanistic / process-oriented source (cyclic model)"
}</x:v>
      </x:c>
      <x:c r="N90" s="54" t="str">
        <x:v>a86944b31f77122f04489efe9c50b2cc71ade1afb5871abcb25bcd43a41fc99c</x:v>
      </x:c>
      <x:c r="O90" s="54" t="str">
        <x:v>packages/astro-knowledge/data/transits/moon-conjunction-mercury.json</x:v>
      </x:c>
    </x:row>
    <x:row r="91" ht="90" customHeight="1">
      <x:c r="A91" s="54" t="n">
        <x:v>89</x:v>
      </x:c>
      <x:c r="B91" s="54" t="str">
        <x:v>sky.moon.opposition.mercury</x:v>
      </x:c>
      <x:c r="C91" s="54" t="str">
        <x:v>the Moon opposition Mercury: a hard contact. The body, home, and daily needs works against communication, commerce, and contracts - obstruction, friction, and strained outcomes in these areas.</x:v>
      </x:c>
      <x:c r="D91" s="54" t="str">
        <x:v>Emotion meets mind. How feeling and thinking inform each other, and how readily the inner life gets put into words. Psychologically the opposition is inner tension to integrate: Gut instinct argues with logic. Either feelings go unspoken or they get said unfiltered, without being thought through. The growth is owning both sides instead of splitting them.</x:v>
      </x:c>
      <x:c r="E91" s="54" t="str">
        <x:v>Full (culmination)</x:v>
      </x:c>
      <x:c r="F91" s="54" t="str"/>
      <x:c r="G91" s="54" t="str"/>
      <x:c r="H91" s="54" t="str">
        <x:v>Friction in this area. Communication colored by mood; powerful when feeling and reasoning are integrated.</x:v>
      </x:c>
      <x:c r="I91" s="54" t="str">
        <x:v>Moodiness and over-need collides with scattered overthinking; forcing or splitting it instead of working it through.</x:v>
      </x:c>
      <x:c r="J91" s="54" t="str">
        <x:v>A confrontation builds; the other side comes fully into view.</x:v>
      </x:c>
      <x:c r="K91" s="54" t="str">
        <x:v>The standoff resolves into balance or a split.</x:v>
      </x:c>
      <x:c r="L91" s="54" t="str">
        <x:v>Emotion meets mind. How feeling and thinking inform each other, and how readily the inner life gets put into words. Psychologically the opposition is inner tension to integrate: Gut instinct argues with logic. Either feelings go unspoken or they get said unfiltered, without being thought through. The growth is owning both sides instead of splitting them.</x:v>
      </x:c>
      <x:c r="M91" s="54" t="str">
        <x:v>{
  "traditional": "classical and traditional sources",
  "modern": "modern aspect cookbook (psychological / popular register)",
  "cyclic": "humanistic / process-oriented source (cyclic model)"
}</x:v>
      </x:c>
      <x:c r="N91" s="54" t="str">
        <x:v>ab86b45ab09dccac68ff977c01450c800fdb7ef5546c08ac6f1d7d1f091533dc</x:v>
      </x:c>
      <x:c r="O91" s="54" t="str">
        <x:v>packages/astro-knowledge/data/transits/moon-opposition-mercury.json</x:v>
      </x:c>
    </x:row>
    <x:row r="92" ht="90" customHeight="1">
      <x:c r="A92" s="54" t="n">
        <x:v>90</x:v>
      </x:c>
      <x:c r="B92" s="54" t="str">
        <x:v>sky.moon.square.mercury</x:v>
      </x:c>
      <x:c r="C92" s="54" t="str">
        <x:v>the Moon square Mercury: a hard contact. The body, home, and daily needs works against communication, commerce, and contracts - obstruction, friction, and strained outcomes in these areas.</x:v>
      </x:c>
      <x:c r="D92" s="54" t="str">
        <x:v>Emotion meets mind. How feeling and thinking inform each other, and how readily the inner life gets put into words. Psychologically the square is inner tension to integrate: Gut instinct argues with logic. Either feelings go unspoken or they get said unfiltered, without being thought through. The growth is owning both sides instead of splitting them.</x:v>
      </x:c>
      <x:c r="E92" s="54" t="str">
        <x:v>First / Last Quarter</x:v>
      </x:c>
      <x:c r="F92" s="54" t="str">
        <x:v>Crisis of action: take conscious hold and build a durable form for feeling against thinking, or be thrown off course.</x:v>
      </x:c>
      <x:c r="G92" s="54" t="str">
        <x:v>Crisis of meaning: break down the feeling/thinking form that has outlived its purpose and reorient toward the next cycle.</x:v>
      </x:c>
      <x:c r="H92" s="54" t="str">
        <x:v>Friction in this area. Communication colored by mood; powerful when feeling and reasoning are integrated.</x:v>
      </x:c>
      <x:c r="I92" s="54" t="str">
        <x:v>Moodiness and over-need collides with scattered overthinking; forcing or splitting it instead of working it through.</x:v>
      </x:c>
      <x:c r="J92" s="54" t="str">
        <x:v>Friction builds toward a forced adjustment.</x:v>
      </x:c>
      <x:c r="K92" s="54" t="str">
        <x:v>The crisis passes; what was restructured settles.</x:v>
      </x:c>
      <x:c r="L92" s="54" t="str">
        <x:v>Emotion meets mind. How feeling and thinking inform each other, and how readily the inner life gets put into words. Psychologically the square is inner tension to integrate: Gut instinct argues with logic. Either feelings go unspoken or they get said unfiltered, without being thought through. The growth is owning both sides instead of splitting them.</x:v>
      </x:c>
      <x:c r="M92" s="54" t="str">
        <x:v>{
  "traditional": "classical and traditional sources",
  "modern": "modern aspect cookbook (psychological / popular register)",
  "cyclic": "humanistic / process-oriented source (cyclic model)"
}</x:v>
      </x:c>
      <x:c r="N92" s="54" t="str">
        <x:v>2405a37122324892c271671c7e66da49a14a44b40cf0810d4c84c2f30692ff71</x:v>
      </x:c>
      <x:c r="O92" s="54" t="str">
        <x:v>packages/astro-knowledge/data/transits/moon-square-mercury.json</x:v>
      </x:c>
    </x:row>
    <x:row r="93" ht="90" customHeight="1">
      <x:c r="A93" s="54" t="n">
        <x:v>91</x:v>
      </x:c>
      <x:c r="B93" s="54" t="str">
        <x:v>sky.moon.trine.mercury</x:v>
      </x:c>
      <x:c r="C93" s="54" t="str">
        <x:v>the Moon trine Mercury: a soft contact. The body, home, and daily needs supports communication, commerce, and contracts - cooperation and favorable conditions in these areas.</x:v>
      </x:c>
      <x:c r="D93" s="54" t="str">
        <x:v>Emotion meets mind. How feeling and thinking inform each other, and how readily the inner life gets put into words. The trine makes this a natural strength: Thought and communication flow; expression is instinctive and fluent. The growth edge is not to coast on the ease.</x:v>
      </x:c>
      <x:c r="E93" s="54" t="str">
        <x:v>Waxing / waning trine</x:v>
      </x:c>
      <x:c r="F93" s="54" t="str">
        <x:v>Feeling and thinking flow together with ease; respond to the opportunity.</x:v>
      </x:c>
      <x:c r="G93" s="54" t="str">
        <x:v>Distribute and give transmissible form to what feeling and thinking have realized.</x:v>
      </x:c>
      <x:c r="H93" s="54" t="str">
        <x:v>An opening in this area. Communication colored by mood; powerful when feeling and reasoning are integrated.</x:v>
      </x:c>
      <x:c r="I93" s="54" t="str">
        <x:v>The ease lets moodiness and over-need and scattered overthinking go unchecked, or the opening pass unused.</x:v>
      </x:c>
      <x:c r="J93" s="54" t="str">
        <x:v>Ease and support build and arrive on their own.</x:v>
      </x:c>
      <x:c r="K93" s="54" t="str">
        <x:v>The ease withdraws; the flow passes, used or not.</x:v>
      </x:c>
      <x:c r="L93" s="54" t="str">
        <x:v>Emotion meets mind. How feeling and thinking inform each other, and how readily the inner life gets put into words. The trine makes this a natural strength: Thought and communication flow; expression is instinctive and fluent. The growth edge is not to coast on the ease.</x:v>
      </x:c>
      <x:c r="M93" s="54" t="str">
        <x:v>{
  "traditional": "classical and traditional sources",
  "modern": "modern aspect cookbook (psychological / popular register)",
  "cyclic": "humanistic / process-oriented source (cyclic model)"
}</x:v>
      </x:c>
      <x:c r="N93" s="54" t="str">
        <x:v>ab63bd914faf57cbdbfe5840e02d8451dc4740b6f85cb8fd6cda3fcf26952326</x:v>
      </x:c>
      <x:c r="O93" s="54" t="str">
        <x:v>packages/astro-knowledge/data/transits/moon-trine-mercury.json</x:v>
      </x:c>
    </x:row>
    <x:row r="94" ht="90" customHeight="1">
      <x:c r="A94" s="54" t="n">
        <x:v>92</x:v>
      </x:c>
      <x:c r="B94" s="54" t="str">
        <x:v>sky.moon.sextile.mercury</x:v>
      </x:c>
      <x:c r="C94" s="54" t="str">
        <x:v>the Moon sextile Mercury: a soft contact. The body, home, and daily needs supports communication, commerce, and contracts - cooperation and favorable conditions in these areas.</x:v>
      </x:c>
      <x:c r="D94" s="54" t="str">
        <x:v>Emotion meets mind. How feeling and thinking inform each other, and how readily the inner life gets put into words. The sextile makes this a natural strength: Thought and communication flow; expression is instinctive and fluent. The growth edge is not to coast on the ease.</x:v>
      </x:c>
      <x:c r="E94" s="54" t="str">
        <x:v>Waxing / waning sextile</x:v>
      </x:c>
      <x:c r="F94" s="54" t="str">
        <x:v>A chance to organize feeling and thinking into a new form; it must be actively taken up.</x:v>
      </x:c>
      <x:c r="G94" s="54" t="str">
        <x:v>Reorganize and share what feeling and thinking have taught; communicate the insight.</x:v>
      </x:c>
      <x:c r="H94" s="54" t="str">
        <x:v>An opening in this area. Communication colored by mood; powerful when feeling and reasoning are integrated.</x:v>
      </x:c>
      <x:c r="I94" s="54" t="str">
        <x:v>The ease lets moodiness and over-need and scattered overthinking go unchecked, or the opening pass unused.</x:v>
      </x:c>
      <x:c r="J94" s="54" t="str">
        <x:v>A supportive opening becomes available; offered, not automatic.</x:v>
      </x:c>
      <x:c r="K94" s="54" t="str">
        <x:v>The opening closes; unused, it passes.</x:v>
      </x:c>
      <x:c r="L94" s="54" t="str">
        <x:v>Emotion meets mind. How feeling and thinking inform each other, and how readily the inner life gets put into words. The sextile makes this a natural strength: Thought and communication flow; expression is instinctive and fluent. The growth edge is not to coast on the ease.</x:v>
      </x:c>
      <x:c r="M94" s="54" t="str">
        <x:v>{
  "traditional": "classical and traditional sources",
  "modern": "modern aspect cookbook (psychological / popular register)",
  "cyclic": "humanistic / process-oriented source (cyclic model)"
}</x:v>
      </x:c>
      <x:c r="N94" s="54" t="str">
        <x:v>837f154b3e7925b50a4ac9d96c117bf1b5ebcc9a6a914e6dc96a364dcb0b8d0d</x:v>
      </x:c>
      <x:c r="O94" s="54" t="str">
        <x:v>packages/astro-knowledge/data/transits/moon-sextile-mercury.json</x:v>
      </x:c>
    </x:row>
    <x:row r="95" ht="90" customHeight="1">
      <x:c r="A95" s="54" t="n">
        <x:v>93</x:v>
      </x:c>
      <x:c r="B95" s="54" t="str">
        <x:v>sky.moon.conjunction.neptune</x:v>
      </x:c>
      <x:c r="C95" s="54" t="str">
        <x:v>No classical doctrine: Neptune is a modern planet unknown to traditional astrology. Read from the modern and cyclic layers; treat this contact as a slow, generational background tone.</x:v>
      </x:c>
      <x:c r="D95" s="54" t="str">
        <x:v>Feelings meet imagination and dissolution. A need for escape and reverie, high sensitivity, and compassion. Fused, these drives are difficult to separate and ask to be consciously integrated rather than acted out blindly.</x:v>
      </x:c>
      <x:c r="E95" s="54" t="str">
        <x:v>New (seed)</x:v>
      </x:c>
      <x:c r="F95" s="54" t="str"/>
      <x:c r="G95" s="54" t="str"/>
      <x:c r="H95" s="54" t="str">
        <x:v>Concentrated focus in this area. Strong for imaginative work; protect boundaries and energy.</x:v>
      </x:c>
      <x:c r="I95" s="54" t="str">
        <x:v>Moodiness and over-need fused with illusion and escapism, with no distance to tell them apart.</x:v>
      </x:c>
      <x:c r="J95" s="54" t="str">
        <x:v>The two fuse and intensify as they close in.</x:v>
      </x:c>
      <x:c r="K95" s="54" t="str">
        <x:v>The fused theme peaks and discharges.</x:v>
      </x:c>
      <x:c r="L95" s="54" t="str">
        <x:v>Feelings meet imagination and dissolution. A need for escape and reverie, high sensitivity, and compassion. Fused, these drives are difficult to separate and ask to be consciously integrated rather than acted out blindly.</x:v>
      </x:c>
      <x:c r="M95" s="54" t="str">
        <x:v>{
  "traditional": "classical and traditional sources",
  "modern": "modern aspect cookbook (psychological / popular register)",
  "cyclic": "humanistic / process-oriented source (cyclic model)"
}</x:v>
      </x:c>
      <x:c r="N95" s="54" t="str">
        <x:v>6a3a5e4bc203c74d467c17b3018291bada4a89150f5b97fae5e15e4bc0c1d617</x:v>
      </x:c>
      <x:c r="O95" s="54" t="str">
        <x:v>packages/astro-knowledge/data/transits/moon-conjunction-neptune.json</x:v>
      </x:c>
    </x:row>
    <x:row r="96" ht="90" customHeight="1">
      <x:c r="A96" s="54" t="n">
        <x:v>94</x:v>
      </x:c>
      <x:c r="B96" s="54" t="str">
        <x:v>sky.moon.opposition.neptune</x:v>
      </x:c>
      <x:c r="C96" s="54" t="str">
        <x:v>No classical doctrine: Neptune is a modern planet unknown to traditional astrology. Read from the modern and cyclic layers; treat this contact as a slow, generational background tone.</x:v>
      </x:c>
      <x:c r="D96" s="54" t="str">
        <x:v>Feelings meet imagination and dissolution. A need for escape and reverie, high sensitivity, and compassion. Psychologically the opposition is inner tension to integrate: Emotional boundaries dissolve, leaving you drained by others or lost in daydream. The growth is owning both sides instead of splitting them.</x:v>
      </x:c>
      <x:c r="E96" s="54" t="str">
        <x:v>Full (culmination)</x:v>
      </x:c>
      <x:c r="F96" s="54" t="str"/>
      <x:c r="G96" s="54" t="str"/>
      <x:c r="H96" s="54" t="str">
        <x:v>Friction in this area. Strong for imaginative work; protect boundaries and energy.</x:v>
      </x:c>
      <x:c r="I96" s="54" t="str">
        <x:v>Moodiness and over-need collides with illusion and escapism; forcing or splitting it instead of working it through.</x:v>
      </x:c>
      <x:c r="J96" s="54" t="str">
        <x:v>A confrontation builds; the other side comes fully into view.</x:v>
      </x:c>
      <x:c r="K96" s="54" t="str">
        <x:v>The standoff resolves into balance or a split.</x:v>
      </x:c>
      <x:c r="L96" s="54" t="str">
        <x:v>Feelings meet imagination and dissolution. A need for escape and reverie, high sensitivity, and compassion. Psychologically the opposition is inner tension to integrate: Emotional boundaries dissolve, leaving you drained by others or lost in daydream. The growth is owning both sides instead of splitting them.</x:v>
      </x:c>
      <x:c r="M96" s="54" t="str">
        <x:v>{
  "traditional": "classical and traditional sources",
  "modern": "modern aspect cookbook (psychological / popular register)",
  "cyclic": "humanistic / process-oriented source (cyclic model)"
}</x:v>
      </x:c>
      <x:c r="N96" s="54" t="str">
        <x:v>137678dcdbe71eadf87e9a926546661c74e2132d54b5b5a7737018dca4f9e746</x:v>
      </x:c>
      <x:c r="O96" s="54" t="str">
        <x:v>packages/astro-knowledge/data/transits/moon-opposition-neptune.json</x:v>
      </x:c>
    </x:row>
    <x:row r="97" ht="90" customHeight="1">
      <x:c r="A97" s="54" t="n">
        <x:v>95</x:v>
      </x:c>
      <x:c r="B97" s="54" t="str">
        <x:v>sky.moon.square.neptune</x:v>
      </x:c>
      <x:c r="C97" s="54" t="str">
        <x:v>No classical doctrine: Neptune is a modern planet unknown to traditional astrology. Read from the modern and cyclic layers; treat this contact as a slow, generational background tone.</x:v>
      </x:c>
      <x:c r="D97" s="54" t="str">
        <x:v>Feelings meet imagination and dissolution. A need for escape and reverie, high sensitivity, and compassion. Psychologically the square is inner tension to integrate: Emotional boundaries dissolve, leaving you drained by others or lost in daydream. The growth is owning both sides instead of splitting them.</x:v>
      </x:c>
      <x:c r="E97" s="54" t="str">
        <x:v>First / Last Quarter</x:v>
      </x:c>
      <x:c r="F97" s="54" t="str">
        <x:v>Crisis of action: take conscious hold and build a durable form for feeling against imagination, or be thrown off course.</x:v>
      </x:c>
      <x:c r="G97" s="54" t="str">
        <x:v>Crisis of meaning: break down the feeling/imagination form that has outlived its purpose and reorient toward the next cycle.</x:v>
      </x:c>
      <x:c r="H97" s="54" t="str">
        <x:v>Friction in this area. Strong for imaginative work; protect boundaries and energy.</x:v>
      </x:c>
      <x:c r="I97" s="54" t="str">
        <x:v>Moodiness and over-need collides with illusion and escapism; forcing or splitting it instead of working it through.</x:v>
      </x:c>
      <x:c r="J97" s="54" t="str">
        <x:v>Friction builds toward a forced adjustment.</x:v>
      </x:c>
      <x:c r="K97" s="54" t="str">
        <x:v>The crisis passes; what was restructured settles.</x:v>
      </x:c>
      <x:c r="L97" s="54" t="str">
        <x:v>Feelings meet imagination and dissolution. A need for escape and reverie, high sensitivity, and compassion. Psychologically the square is inner tension to integrate: Emotional boundaries dissolve, leaving you drained by others or lost in daydream. The growth is owning both sides instead of splitting them.</x:v>
      </x:c>
      <x:c r="M97" s="54" t="str">
        <x:v>{
  "traditional": "classical and traditional sources",
  "modern": "modern aspect cookbook (psychological / popular register)",
  "cyclic": "humanistic / process-oriented source (cyclic model)"
}</x:v>
      </x:c>
      <x:c r="N97" s="54" t="str">
        <x:v>3a889f2ec1cdf11e892b786bd0b8e64e40ea438a90fdb3364b2b8c0fb583f35f</x:v>
      </x:c>
      <x:c r="O97" s="54" t="str">
        <x:v>packages/astro-knowledge/data/transits/moon-square-neptune.json</x:v>
      </x:c>
    </x:row>
    <x:row r="98" ht="90" customHeight="1">
      <x:c r="A98" s="54" t="n">
        <x:v>96</x:v>
      </x:c>
      <x:c r="B98" s="54" t="str">
        <x:v>sky.moon.trine.neptune</x:v>
      </x:c>
      <x:c r="C98" s="54" t="str">
        <x:v>No classical doctrine: Neptune is a modern planet unknown to traditional astrology. Read from the modern and cyclic layers; treat this contact as a slow, generational background tone.</x:v>
      </x:c>
      <x:c r="D98" s="54" t="str">
        <x:v>Feelings meet imagination and dissolution. A need for escape and reverie, high sensitivity, and compassion. The trine makes this a natural strength: Imaginative and receptive; help seems to arrive from others. The growth edge is not to coast on the ease.</x:v>
      </x:c>
      <x:c r="E98" s="54" t="str">
        <x:v>Waxing / waning trine</x:v>
      </x:c>
      <x:c r="F98" s="54" t="str">
        <x:v>Feeling and imagination flow together with ease; respond to the opportunity.</x:v>
      </x:c>
      <x:c r="G98" s="54" t="str">
        <x:v>Distribute and give transmissible form to what feeling and imagination have realized.</x:v>
      </x:c>
      <x:c r="H98" s="54" t="str">
        <x:v>An opening in this area. Strong for imaginative work; protect boundaries and energy.</x:v>
      </x:c>
      <x:c r="I98" s="54" t="str">
        <x:v>The ease lets moodiness and over-need and illusion and escapism go unchecked, or the opening pass unused.</x:v>
      </x:c>
      <x:c r="J98" s="54" t="str">
        <x:v>Ease and support build and arrive on their own.</x:v>
      </x:c>
      <x:c r="K98" s="54" t="str">
        <x:v>The ease withdraws; the flow passes, used or not.</x:v>
      </x:c>
      <x:c r="L98" s="54" t="str">
        <x:v>Feelings meet imagination and dissolution. A need for escape and reverie, high sensitivity, and compassion. The trine makes this a natural strength: Imaginative and receptive; help seems to arrive from others. The growth edge is not to coast on the ease.</x:v>
      </x:c>
      <x:c r="M98" s="54" t="str">
        <x:v>{
  "traditional": "classical and traditional sources",
  "modern": "modern aspect cookbook (psychological / popular register)",
  "cyclic": "humanistic / process-oriented source (cyclic model)"
}</x:v>
      </x:c>
      <x:c r="N98" s="54" t="str">
        <x:v>eca164982310cbd02420c93dfaca260c77952a58ef86a73892c5b0a87379e44b</x:v>
      </x:c>
      <x:c r="O98" s="54" t="str">
        <x:v>packages/astro-knowledge/data/transits/moon-trine-neptune.json</x:v>
      </x:c>
    </x:row>
    <x:row r="99" ht="90" customHeight="1">
      <x:c r="A99" s="54" t="n">
        <x:v>97</x:v>
      </x:c>
      <x:c r="B99" s="54" t="str">
        <x:v>sky.moon.sextile.neptune</x:v>
      </x:c>
      <x:c r="C99" s="54" t="str">
        <x:v>No classical doctrine: Neptune is a modern planet unknown to traditional astrology. Read from the modern and cyclic layers; treat this contact as a slow, generational background tone.</x:v>
      </x:c>
      <x:c r="D99" s="54" t="str">
        <x:v>Feelings meet imagination and dissolution. A need for escape and reverie, high sensitivity, and compassion. The sextile makes this a natural strength: Imaginative and receptive; help seems to arrive from others. The growth edge is not to coast on the ease.</x:v>
      </x:c>
      <x:c r="E99" s="54" t="str">
        <x:v>Waxing / waning sextile</x:v>
      </x:c>
      <x:c r="F99" s="54" t="str">
        <x:v>A chance to organize feeling and imagination into a new form; it must be actively taken up.</x:v>
      </x:c>
      <x:c r="G99" s="54" t="str">
        <x:v>Reorganize and share what feeling and imagination have taught; communicate the insight.</x:v>
      </x:c>
      <x:c r="H99" s="54" t="str">
        <x:v>An opening in this area. Strong for imaginative work; protect boundaries and energy.</x:v>
      </x:c>
      <x:c r="I99" s="54" t="str">
        <x:v>The ease lets moodiness and over-need and illusion and escapism go unchecked, or the opening pass unused.</x:v>
      </x:c>
      <x:c r="J99" s="54" t="str">
        <x:v>A supportive opening becomes available; offered, not automatic.</x:v>
      </x:c>
      <x:c r="K99" s="54" t="str">
        <x:v>The opening closes; unused, it passes.</x:v>
      </x:c>
      <x:c r="L99" s="54" t="str">
        <x:v>Feelings meet imagination and dissolution. A need for escape and reverie, high sensitivity, and compassion. The sextile makes this a natural strength: Imaginative and receptive; help seems to arrive from others. The growth edge is not to coast on the ease.</x:v>
      </x:c>
      <x:c r="M99" s="54" t="str">
        <x:v>{
  "traditional": "classical and traditional sources",
  "modern": "modern aspect cookbook (psychological / popular register)",
  "cyclic": "humanistic / process-oriented source (cyclic model)"
}</x:v>
      </x:c>
      <x:c r="N99" s="54" t="str">
        <x:v>85ef3c4abd59c9388116bc2862d2ad6ab0316f7b62a79e256cb3eeedbc66f537</x:v>
      </x:c>
      <x:c r="O99" s="54" t="str">
        <x:v>packages/astro-knowledge/data/transits/moon-sextile-neptune.json</x:v>
      </x:c>
    </x:row>
    <x:row r="100" ht="90" customHeight="1">
      <x:c r="A100" s="54" t="n">
        <x:v>98</x:v>
      </x:c>
      <x:c r="B100" s="54" t="str">
        <x:v>sky.moon.conjunction.pluto</x:v>
      </x:c>
      <x:c r="C100" s="54" t="str">
        <x:v>No classical doctrine: Pluto is a modern planet unknown to traditional astrology. Read from the modern and cyclic layers; treat this contact as a slow, generational background tone.</x:v>
      </x:c>
      <x:c r="D100" s="54" t="str">
        <x:v>Emotion meets power and intensity. Feelings run deep and extreme, with strong swings. Fused, these drives are difficult to separate and ask to be consciously integrated rather than acted out blindly.</x:v>
      </x:c>
      <x:c r="E100" s="54" t="str">
        <x:v>New (seed)</x:v>
      </x:c>
      <x:c r="F100" s="54" t="str"/>
      <x:c r="G100" s="54" t="str"/>
      <x:c r="H100" s="54" t="str">
        <x:v>Concentrated focus in this area. Emotional intensity: depth is an asset, volatility a liability.</x:v>
      </x:c>
      <x:c r="I100" s="54" t="str">
        <x:v>Moodiness and over-need fused with control and obsession, with no distance to tell them apart.</x:v>
      </x:c>
      <x:c r="J100" s="54" t="str">
        <x:v>The two fuse and intensify as they close in.</x:v>
      </x:c>
      <x:c r="K100" s="54" t="str">
        <x:v>The fused theme peaks and discharges.</x:v>
      </x:c>
      <x:c r="L100" s="54" t="str">
        <x:v>Emotion meets power and intensity. Feelings run deep and extreme, with strong swings. Fused, these drives are difficult to separate and ask to be consciously integrated rather than acted out blindly.</x:v>
      </x:c>
      <x:c r="M100" s="54" t="str">
        <x:v>{
  "traditional": "classical and traditional sources",
  "modern": "modern aspect cookbook (psychological / popular register)",
  "cyclic": "humanistic / process-oriented source (cyclic model)"
}</x:v>
      </x:c>
      <x:c r="N100" s="54" t="str">
        <x:v>56cef9e7097f669a0796cc67424fe477ae9fadc5bd6847ac12cb3912f1193448</x:v>
      </x:c>
      <x:c r="O100" s="54" t="str">
        <x:v>packages/astro-knowledge/data/transits/moon-conjunction-pluto.json</x:v>
      </x:c>
    </x:row>
    <x:row r="101" ht="90" customHeight="1">
      <x:c r="A101" s="54" t="n">
        <x:v>99</x:v>
      </x:c>
      <x:c r="B101" s="54" t="str">
        <x:v>sky.moon.opposition.pluto</x:v>
      </x:c>
      <x:c r="C101" s="54" t="str">
        <x:v>No classical doctrine: Pluto is a modern planet unknown to traditional astrology. Read from the modern and cyclic layers; treat this contact as a slow, generational background tone.</x:v>
      </x:c>
      <x:c r="D101" s="54" t="str">
        <x:v>Emotion meets power and intensity. Feelings run deep and extreme, with strong swings. Psychologically the opposition is inner tension to integrate: Emotional power struggles, jealousy, and compulsion. The growth is owning both sides instead of splitting them.</x:v>
      </x:c>
      <x:c r="E101" s="54" t="str">
        <x:v>Full (culmination)</x:v>
      </x:c>
      <x:c r="F101" s="54" t="str"/>
      <x:c r="G101" s="54" t="str"/>
      <x:c r="H101" s="54" t="str">
        <x:v>Friction in this area. Emotional intensity: depth is an asset, volatility a liability.</x:v>
      </x:c>
      <x:c r="I101" s="54" t="str">
        <x:v>Moodiness and over-need collides with control and obsession; forcing or splitting it instead of working it through.</x:v>
      </x:c>
      <x:c r="J101" s="54" t="str">
        <x:v>A confrontation builds; the other side comes fully into view.</x:v>
      </x:c>
      <x:c r="K101" s="54" t="str">
        <x:v>The standoff resolves into balance or a split.</x:v>
      </x:c>
      <x:c r="L101" s="54" t="str">
        <x:v>Emotion meets power and intensity. Feelings run deep and extreme, with strong swings. Psychologically the opposition is inner tension to integrate: Emotional power struggles, jealousy, and compulsion. The growth is owning both sides instead of splitting them.</x:v>
      </x:c>
      <x:c r="M101" s="54" t="str">
        <x:v>{
  "traditional": "classical and traditional sources",
  "modern": "modern aspect cookbook (psychological / popular register)",
  "cyclic": "humanistic / process-oriented source (cyclic model)"
}</x:v>
      </x:c>
      <x:c r="N101" s="54" t="str">
        <x:v>1290090369d1baae86a979a5971851e21b3ca88312425095730c6fc2a3f7f149</x:v>
      </x:c>
      <x:c r="O101" s="54" t="str">
        <x:v>packages/astro-knowledge/data/transits/moon-opposition-pluto.json</x:v>
      </x:c>
    </x:row>
    <x:row r="102" ht="90" customHeight="1">
      <x:c r="A102" s="54" t="n">
        <x:v>100</x:v>
      </x:c>
      <x:c r="B102" s="54" t="str">
        <x:v>sky.moon.square.pluto</x:v>
      </x:c>
      <x:c r="C102" s="54" t="str">
        <x:v>No classical doctrine: Pluto is a modern planet unknown to traditional astrology. Read from the modern and cyclic layers; treat this contact as a slow, generational background tone.</x:v>
      </x:c>
      <x:c r="D102" s="54" t="str">
        <x:v>Emotion meets power and intensity. Feelings run deep and extreme, with strong swings. Psychologically the square is inner tension to integrate: Emotional power struggles, jealousy, and compulsion. The growth is owning both sides instead of splitting them.</x:v>
      </x:c>
      <x:c r="E102" s="54" t="str">
        <x:v>First / Last Quarter</x:v>
      </x:c>
      <x:c r="F102" s="54" t="str">
        <x:v>Crisis of action: take conscious hold and build a durable form for feeling against power, or be thrown off course.</x:v>
      </x:c>
      <x:c r="G102" s="54" t="str">
        <x:v>Crisis of meaning: break down the feeling/power form that has outlived its purpose and reorient toward the next cycle.</x:v>
      </x:c>
      <x:c r="H102" s="54" t="str">
        <x:v>Friction in this area. Emotional intensity: depth is an asset, volatility a liability.</x:v>
      </x:c>
      <x:c r="I102" s="54" t="str">
        <x:v>Moodiness and over-need collides with control and obsession; forcing or splitting it instead of working it through.</x:v>
      </x:c>
      <x:c r="J102" s="54" t="str">
        <x:v>Friction builds toward a forced adjustment.</x:v>
      </x:c>
      <x:c r="K102" s="54" t="str">
        <x:v>The crisis passes; what was restructured settles.</x:v>
      </x:c>
      <x:c r="L102" s="54" t="str">
        <x:v>Emotion meets power and intensity. Feelings run deep and extreme, with strong swings. Psychologically the square is inner tension to integrate: Emotional power struggles, jealousy, and compulsion. The growth is owning both sides instead of splitting them.</x:v>
      </x:c>
      <x:c r="M102" s="54" t="str">
        <x:v>{
  "traditional": "classical and traditional sources",
  "modern": "modern aspect cookbook (psychological / popular register)",
  "cyclic": "humanistic / process-oriented source (cyclic model)"
}</x:v>
      </x:c>
      <x:c r="N102" s="54" t="str">
        <x:v>ab64669f805bd36f35d2827e9d750c80f695ae940dc8a77389981ee190fe27f7</x:v>
      </x:c>
      <x:c r="O102" s="54" t="str">
        <x:v>packages/astro-knowledge/data/transits/moon-square-pluto.json</x:v>
      </x:c>
    </x:row>
    <x:row r="103" ht="90" customHeight="1">
      <x:c r="A103" s="54" t="n">
        <x:v>101</x:v>
      </x:c>
      <x:c r="B103" s="54" t="str">
        <x:v>sky.moon.trine.pluto</x:v>
      </x:c>
      <x:c r="C103" s="54" t="str">
        <x:v>No classical doctrine: Pluto is a modern planet unknown to traditional astrology. Read from the modern and cyclic layers; treat this contact as a slow, generational background tone.</x:v>
      </x:c>
      <x:c r="D103" s="54" t="str">
        <x:v>Emotion meets power and intensity. Feelings run deep and extreme, with strong swings. The trine makes this a natural strength: Emotional depth and resilience that can be drawn on deliberately. The growth edge is not to coast on the ease.</x:v>
      </x:c>
      <x:c r="E103" s="54" t="str">
        <x:v>Waxing / waning trine</x:v>
      </x:c>
      <x:c r="F103" s="54" t="str">
        <x:v>Feeling and power flow together with ease; respond to the opportunity.</x:v>
      </x:c>
      <x:c r="G103" s="54" t="str">
        <x:v>Distribute and give transmissible form to what feeling and power have realized.</x:v>
      </x:c>
      <x:c r="H103" s="54" t="str">
        <x:v>An opening in this area. Emotional intensity: depth is an asset, volatility a liability.</x:v>
      </x:c>
      <x:c r="I103" s="54" t="str">
        <x:v>The ease lets moodiness and over-need and control and obsession go unchecked, or the opening pass unused.</x:v>
      </x:c>
      <x:c r="J103" s="54" t="str">
        <x:v>Ease and support build and arrive on their own.</x:v>
      </x:c>
      <x:c r="K103" s="54" t="str">
        <x:v>The ease withdraws; the flow passes, used or not.</x:v>
      </x:c>
      <x:c r="L103" s="54" t="str">
        <x:v>Emotion meets power and intensity. Feelings run deep and extreme, with strong swings. The trine makes this a natural strength: Emotional depth and resilience that can be drawn on deliberately. The growth edge is not to coast on the ease.</x:v>
      </x:c>
      <x:c r="M103" s="54" t="str">
        <x:v>{
  "traditional": "classical and traditional sources",
  "modern": "modern aspect cookbook (psychological / popular register)",
  "cyclic": "humanistic / process-oriented source (cyclic model)"
}</x:v>
      </x:c>
      <x:c r="N103" s="54" t="str">
        <x:v>af9b689d508115167e5570283216b09d420711cabbce38a5102808f88c9e2d49</x:v>
      </x:c>
      <x:c r="O103" s="54" t="str">
        <x:v>packages/astro-knowledge/data/transits/moon-trine-pluto.json</x:v>
      </x:c>
    </x:row>
    <x:row r="104" ht="90" customHeight="1">
      <x:c r="A104" s="54" t="n">
        <x:v>102</x:v>
      </x:c>
      <x:c r="B104" s="54" t="str">
        <x:v>sky.moon.sextile.pluto</x:v>
      </x:c>
      <x:c r="C104" s="54" t="str">
        <x:v>No classical doctrine: Pluto is a modern planet unknown to traditional astrology. Read from the modern and cyclic layers; treat this contact as a slow, generational background tone.</x:v>
      </x:c>
      <x:c r="D104" s="54" t="str">
        <x:v>Emotion meets power and intensity. Feelings run deep and extreme, with strong swings. The sextile makes this a natural strength: Emotional depth and resilience that can be drawn on deliberately. The growth edge is not to coast on the ease.</x:v>
      </x:c>
      <x:c r="E104" s="54" t="str">
        <x:v>Waxing / waning sextile</x:v>
      </x:c>
      <x:c r="F104" s="54" t="str">
        <x:v>A chance to organize feeling and power into a new form; it must be actively taken up.</x:v>
      </x:c>
      <x:c r="G104" s="54" t="str">
        <x:v>Reorganize and share what feeling and power have taught; communicate the insight.</x:v>
      </x:c>
      <x:c r="H104" s="54" t="str">
        <x:v>An opening in this area. Emotional intensity: depth is an asset, volatility a liability.</x:v>
      </x:c>
      <x:c r="I104" s="54" t="str">
        <x:v>The ease lets moodiness and over-need and control and obsession go unchecked, or the opening pass unused.</x:v>
      </x:c>
      <x:c r="J104" s="54" t="str">
        <x:v>A supportive opening becomes available; offered, not automatic.</x:v>
      </x:c>
      <x:c r="K104" s="54" t="str">
        <x:v>The opening closes; unused, it passes.</x:v>
      </x:c>
      <x:c r="L104" s="54" t="str">
        <x:v>Emotion meets power and intensity. Feelings run deep and extreme, with strong swings. The sextile makes this a natural strength: Emotional depth and resilience that can be drawn on deliberately. The growth edge is not to coast on the ease.</x:v>
      </x:c>
      <x:c r="M104" s="54" t="str">
        <x:v>{
  "traditional": "classical and traditional sources",
  "modern": "modern aspect cookbook (psychological / popular register)",
  "cyclic": "humanistic / process-oriented source (cyclic model)"
}</x:v>
      </x:c>
      <x:c r="N104" s="54" t="str">
        <x:v>53175c363a61b91c99ce366056948ee8fc636e3fc6f1561f326cd86337cf0e1a</x:v>
      </x:c>
      <x:c r="O104" s="54" t="str">
        <x:v>packages/astro-knowledge/data/transits/moon-sextile-pluto.json</x:v>
      </x:c>
    </x:row>
    <x:row r="105" ht="90" customHeight="1">
      <x:c r="A105" s="54" t="n">
        <x:v>103</x:v>
      </x:c>
      <x:c r="B105" s="54" t="str">
        <x:v>sky.moon.conjunction.saturn</x:v>
      </x:c>
      <x:c r="C105" s="54" t="str">
        <x:v>the Moon conjunct Saturn: the body, home, and daily needs fused with limitation, delay, and hard structure. The two act as one and the combined significations are hard to separate.</x:v>
      </x:c>
      <x:c r="D105" s="54" t="str">
        <x:v>Emotion meets limit and duty. Emotional reserve, seriousness, and a habit of bracing for the worst. Fused, these drives are difficult to separate and ask to be consciously integrated rather than acted out blindly.</x:v>
      </x:c>
      <x:c r="E105" s="54" t="str">
        <x:v>New (seed)</x:v>
      </x:c>
      <x:c r="F105" s="54" t="str"/>
      <x:c r="G105" s="54" t="str"/>
      <x:c r="H105" s="54" t="str">
        <x:v>Concentrated focus in this area. Dependable under pressure; the risk is grinding joylessly.</x:v>
      </x:c>
      <x:c r="I105" s="54" t="str">
        <x:v>Moodiness and over-need fused with fear and rigidity, with no distance to tell them apart.</x:v>
      </x:c>
      <x:c r="J105" s="54" t="str">
        <x:v>The two fuse and intensify as they close in.</x:v>
      </x:c>
      <x:c r="K105" s="54" t="str">
        <x:v>The fused theme peaks and discharges.</x:v>
      </x:c>
      <x:c r="L105" s="54" t="str">
        <x:v>Emotion meets limit and duty. Emotional reserve, seriousness, and a habit of bracing for the worst. Fused, these drives are difficult to separate and ask to be consciously integrated rather than acted out blindly.</x:v>
      </x:c>
      <x:c r="M105" s="54" t="str">
        <x:v>{
  "traditional": "classical and traditional sources",
  "modern": "modern aspect cookbook (psychological / popular register)",
  "cyclic": "humanistic / process-oriented source (cyclic model)"
}</x:v>
      </x:c>
      <x:c r="N105" s="54" t="str">
        <x:v>44f07ac2c3d975c4e0fd6df0dcc92fdd6dde73969788d8facc0a241c183e5647</x:v>
      </x:c>
      <x:c r="O105" s="54" t="str">
        <x:v>packages/astro-knowledge/data/transits/moon-conjunction-saturn.json</x:v>
      </x:c>
    </x:row>
    <x:row r="106" ht="90" customHeight="1">
      <x:c r="A106" s="54" t="n">
        <x:v>104</x:v>
      </x:c>
      <x:c r="B106" s="54" t="str">
        <x:v>sky.moon.opposition.saturn</x:v>
      </x:c>
      <x:c r="C106" s="54" t="str">
        <x:v>the Moon opposition Saturn: a hard contact. The body, home, and daily needs works against limitation, delay, and hard structure - obstruction, friction, and strained outcomes in these areas.</x:v>
      </x:c>
      <x:c r="D106" s="54" t="str">
        <x:v>Emotion meets limit and duty. Emotional reserve, seriousness, and a habit of bracing for the worst. Psychologically the opposition is inner tension to integrate: Coldness or distance, pessimism, and a sense of deprivation. Useful work is the standard remedy. The growth is owning both sides instead of splitting them.</x:v>
      </x:c>
      <x:c r="E106" s="54" t="str">
        <x:v>Full (culmination)</x:v>
      </x:c>
      <x:c r="F106" s="54" t="str"/>
      <x:c r="G106" s="54" t="str"/>
      <x:c r="H106" s="54" t="str">
        <x:v>Friction in this area. Dependable under pressure; the risk is grinding joylessly.</x:v>
      </x:c>
      <x:c r="I106" s="54" t="str">
        <x:v>Moodiness and over-need collides with fear and rigidity; forcing or splitting it instead of working it through.</x:v>
      </x:c>
      <x:c r="J106" s="54" t="str">
        <x:v>A confrontation builds; the other side comes fully into view.</x:v>
      </x:c>
      <x:c r="K106" s="54" t="str">
        <x:v>The standoff resolves into balance or a split.</x:v>
      </x:c>
      <x:c r="L106" s="54" t="str">
        <x:v>Emotion meets limit and duty. Emotional reserve, seriousness, and a habit of bracing for the worst. Psychologically the opposition is inner tension to integrate: Coldness or distance, pessimism, and a sense of deprivation. Useful work is the standard remedy. The growth is owning both sides instead of splitting them.</x:v>
      </x:c>
      <x:c r="M106" s="54" t="str">
        <x:v>{
  "traditional": "classical and traditional sources",
  "modern": "modern aspect cookbook (psychological / popular register)",
  "cyclic": "humanistic / process-oriented source (cyclic model)"
}</x:v>
      </x:c>
      <x:c r="N106" s="54" t="str">
        <x:v>9688db51ed4012f67d1cc90a8cacdc0abe5965cdcb6507cc386e245affae078a</x:v>
      </x:c>
      <x:c r="O106" s="54" t="str">
        <x:v>packages/astro-knowledge/data/transits/moon-opposition-saturn.json</x:v>
      </x:c>
    </x:row>
    <x:row r="107" ht="90" customHeight="1">
      <x:c r="A107" s="54" t="n">
        <x:v>105</x:v>
      </x:c>
      <x:c r="B107" s="54" t="str">
        <x:v>sky.moon.square.saturn</x:v>
      </x:c>
      <x:c r="C107" s="54" t="str">
        <x:v>the Moon square Saturn: a hard contact. The body, home, and daily needs works against limitation, delay, and hard structure - obstruction, friction, and strained outcomes in these areas.</x:v>
      </x:c>
      <x:c r="D107" s="54" t="str">
        <x:v>Emotion meets limit and duty. Emotional reserve, seriousness, and a habit of bracing for the worst. Psychologically the square is inner tension to integrate: Coldness or distance, pessimism, and a sense of deprivation. Useful work is the standard remedy. The growth is owning both sides instead of splitting them.</x:v>
      </x:c>
      <x:c r="E107" s="54" t="str">
        <x:v>First / Last Quarter</x:v>
      </x:c>
      <x:c r="F107" s="54" t="str">
        <x:v>Crisis of action: take conscious hold and build a durable form for feeling against limit, or be thrown off course.</x:v>
      </x:c>
      <x:c r="G107" s="54" t="str">
        <x:v>Crisis of meaning: break down the feeling/limit form that has outlived its purpose and reorient toward the next cycle.</x:v>
      </x:c>
      <x:c r="H107" s="54" t="str">
        <x:v>Friction in this area. Dependable under pressure; the risk is grinding joylessly.</x:v>
      </x:c>
      <x:c r="I107" s="54" t="str">
        <x:v>Moodiness and over-need collides with fear and rigidity; forcing or splitting it instead of working it through.</x:v>
      </x:c>
      <x:c r="J107" s="54" t="str">
        <x:v>Friction builds toward a forced adjustment.</x:v>
      </x:c>
      <x:c r="K107" s="54" t="str">
        <x:v>The crisis passes; what was restructured settles.</x:v>
      </x:c>
      <x:c r="L107" s="54" t="str">
        <x:v>Emotion meets limit and duty. Emotional reserve, seriousness, and a habit of bracing for the worst. Psychologically the square is inner tension to integrate: Coldness or distance, pessimism, and a sense of deprivation. Useful work is the standard remedy. The growth is owning both sides instead of splitting them.</x:v>
      </x:c>
      <x:c r="M107" s="54" t="str">
        <x:v>{
  "traditional": "classical and traditional sources",
  "modern": "modern aspect cookbook (psychological / popular register)",
  "cyclic": "humanistic / process-oriented source (cyclic model)"
}</x:v>
      </x:c>
      <x:c r="N107" s="54" t="str">
        <x:v>d961f52f0c9c2af2ced8dcd4a037b37b2af8dde2f3380d88616f6e92161a19a5</x:v>
      </x:c>
      <x:c r="O107" s="54" t="str">
        <x:v>packages/astro-knowledge/data/transits/moon-square-saturn.json</x:v>
      </x:c>
    </x:row>
    <x:row r="108" ht="90" customHeight="1">
      <x:c r="A108" s="54" t="n">
        <x:v>106</x:v>
      </x:c>
      <x:c r="B108" s="54" t="str">
        <x:v>sky.moon.trine.saturn</x:v>
      </x:c>
      <x:c r="C108" s="54" t="str">
        <x:v>the Moon trine Saturn: a soft contact. The body, home, and daily needs supports limitation, delay, and hard structure - cooperation and favorable conditions in these areas.</x:v>
      </x:c>
      <x:c r="D108" s="54" t="str">
        <x:v>Emotion meets limit and duty. Emotional reserve, seriousness, and a habit of bracing for the worst. The trine makes this a natural strength: Emotional steadiness and staying power. The growth edge is not to coast on the ease.</x:v>
      </x:c>
      <x:c r="E108" s="54" t="str">
        <x:v>Waxing / waning trine</x:v>
      </x:c>
      <x:c r="F108" s="54" t="str">
        <x:v>Feeling and limit flow together with ease; respond to the opportunity.</x:v>
      </x:c>
      <x:c r="G108" s="54" t="str">
        <x:v>Distribute and give transmissible form to what feeling and limit have realized.</x:v>
      </x:c>
      <x:c r="H108" s="54" t="str">
        <x:v>An opening in this area. Dependable under pressure; the risk is grinding joylessly.</x:v>
      </x:c>
      <x:c r="I108" s="54" t="str">
        <x:v>The ease lets moodiness and over-need and fear and rigidity go unchecked, or the opening pass unused.</x:v>
      </x:c>
      <x:c r="J108" s="54" t="str">
        <x:v>Ease and support build and arrive on their own.</x:v>
      </x:c>
      <x:c r="K108" s="54" t="str">
        <x:v>The ease withdraws; the flow passes, used or not.</x:v>
      </x:c>
      <x:c r="L108" s="54" t="str">
        <x:v>Emotion meets limit and duty. Emotional reserve, seriousness, and a habit of bracing for the worst. The trine makes this a natural strength: Emotional steadiness and staying power. The growth edge is not to coast on the ease.</x:v>
      </x:c>
      <x:c r="M108" s="54" t="str">
        <x:v>{
  "traditional": "classical and traditional sources",
  "modern": "modern aspect cookbook (psychological / popular register)",
  "cyclic": "humanistic / process-oriented source (cyclic model)"
}</x:v>
      </x:c>
      <x:c r="N108" s="54" t="str">
        <x:v>9a91448851515009d8484cebb8635ac070f83f1c67b596ce3701cbe70aaf05b3</x:v>
      </x:c>
      <x:c r="O108" s="54" t="str">
        <x:v>packages/astro-knowledge/data/transits/moon-trine-saturn.json</x:v>
      </x:c>
    </x:row>
    <x:row r="109" ht="90" customHeight="1">
      <x:c r="A109" s="54" t="n">
        <x:v>107</x:v>
      </x:c>
      <x:c r="B109" s="54" t="str">
        <x:v>sky.moon.sextile.saturn</x:v>
      </x:c>
      <x:c r="C109" s="54" t="str">
        <x:v>the Moon sextile Saturn: a soft contact. The body, home, and daily needs supports limitation, delay, and hard structure - cooperation and favorable conditions in these areas.</x:v>
      </x:c>
      <x:c r="D109" s="54" t="str">
        <x:v>Emotion meets limit and duty. Emotional reserve, seriousness, and a habit of bracing for the worst. The sextile makes this a natural strength: Emotional steadiness and staying power. The growth edge is not to coast on the ease.</x:v>
      </x:c>
      <x:c r="E109" s="54" t="str">
        <x:v>Waxing / waning sextile</x:v>
      </x:c>
      <x:c r="F109" s="54" t="str">
        <x:v>A chance to organize feeling and limit into a new form; it must be actively taken up.</x:v>
      </x:c>
      <x:c r="G109" s="54" t="str">
        <x:v>Reorganize and share what feeling and limit have taught; communicate the insight.</x:v>
      </x:c>
      <x:c r="H109" s="54" t="str">
        <x:v>An opening in this area. Dependable under pressure; the risk is grinding joylessly.</x:v>
      </x:c>
      <x:c r="I109" s="54" t="str">
        <x:v>The ease lets moodiness and over-need and fear and rigidity go unchecked, or the opening pass unused.</x:v>
      </x:c>
      <x:c r="J109" s="54" t="str">
        <x:v>A supportive opening becomes available; offered, not automatic.</x:v>
      </x:c>
      <x:c r="K109" s="54" t="str">
        <x:v>The opening closes; unused, it passes.</x:v>
      </x:c>
      <x:c r="L109" s="54" t="str">
        <x:v>Emotion meets limit and duty. Emotional reserve, seriousness, and a habit of bracing for the worst. The sextile makes this a natural strength: Emotional steadiness and staying power. The growth edge is not to coast on the ease.</x:v>
      </x:c>
      <x:c r="M109" s="54" t="str">
        <x:v>{
  "traditional": "classical and traditional sources",
  "modern": "modern aspect cookbook (psychological / popular register)",
  "cyclic": "humanistic / process-oriented source (cyclic model)"
}</x:v>
      </x:c>
      <x:c r="N109" s="54" t="str">
        <x:v>5d9fa7f929dcdecfe36280d3012e63875942fce28ceb9f47f8829f5d66ca50ab</x:v>
      </x:c>
      <x:c r="O109" s="54" t="str">
        <x:v>packages/astro-knowledge/data/transits/moon-sextile-saturn.json</x:v>
      </x:c>
    </x:row>
    <x:row r="110" ht="90" customHeight="1">
      <x:c r="A110" s="54" t="n">
        <x:v>108</x:v>
      </x:c>
      <x:c r="B110" s="54" t="str">
        <x:v>sky.moon.conjunction.uranus</x:v>
      </x:c>
      <x:c r="C110" s="54" t="str">
        <x:v>No classical doctrine: Uranus is a modern planet unknown to traditional astrology. Read from the modern and cyclic layers; treat this contact as a slow, generational background tone.</x:v>
      </x:c>
      <x:c r="D110" s="54" t="str">
        <x:v>Emotional life meets disruption and the need for freedom. Feelings turn unpredictable, restless, and resistant to routine. Fused, these drives are difficult to separate and ask to be consciously integrated rather than acted out blindly.</x:v>
      </x:c>
      <x:c r="E110" s="54" t="str">
        <x:v>New (seed)</x:v>
      </x:c>
      <x:c r="F110" s="54" t="str"/>
      <x:c r="G110" s="54" t="str"/>
      <x:c r="H110" s="54" t="str">
        <x:v>Concentrated focus in this area. Good for inventive moves and breaking stale routines; poor for steady, predictable handling.</x:v>
      </x:c>
      <x:c r="I110" s="54" t="str">
        <x:v>Moodiness and over-need fused with instability for its own sake, with no distance to tell them apart.</x:v>
      </x:c>
      <x:c r="J110" s="54" t="str">
        <x:v>The two fuse and intensify as they close in.</x:v>
      </x:c>
      <x:c r="K110" s="54" t="str">
        <x:v>The fused theme peaks and discharges.</x:v>
      </x:c>
      <x:c r="L110" s="54" t="str">
        <x:v>Emotional life meets disruption and the need for freedom. Feelings turn unpredictable, restless, and resistant to routine. Fused, these drives are difficult to separate and ask to be consciously integrated rather than acted out blindly.</x:v>
      </x:c>
      <x:c r="M110" s="54" t="str">
        <x:v>{
  "traditional": "classical and traditional sources",
  "modern": "modern aspect cookbook (psychological / popular register)",
  "cyclic": "humanistic / process-oriented source (cyclic model)"
}</x:v>
      </x:c>
      <x:c r="N110" s="54" t="str">
        <x:v>142f9bc61b8466b2e60483677875fd289019863ce54ff7d972b7abf9698fe276</x:v>
      </x:c>
      <x:c r="O110" s="54" t="str">
        <x:v>packages/astro-knowledge/data/transits/moon-conjunction-uranus.json</x:v>
      </x:c>
    </x:row>
    <x:row r="111" ht="90" customHeight="1">
      <x:c r="A111" s="54" t="n">
        <x:v>109</x:v>
      </x:c>
      <x:c r="B111" s="54" t="str">
        <x:v>sky.moon.opposition.uranus</x:v>
      </x:c>
      <x:c r="C111" s="54" t="str">
        <x:v>No classical doctrine: Uranus is a modern planet unknown to traditional astrology. Read from the modern and cyclic layers; treat this contact as a slow, generational background tone.</x:v>
      </x:c>
      <x:c r="D111" s="54" t="str">
        <x:v>Emotional life meets disruption and the need for freedom. Feelings turn unpredictable, restless, and resistant to routine. Psychologically the opposition is inner tension to integrate: Emotional volatility, sudden moods, and a recoil from anything that feels confining. The growth is owning both sides instead of splitting them.</x:v>
      </x:c>
      <x:c r="E111" s="54" t="str">
        <x:v>Full (culmination)</x:v>
      </x:c>
      <x:c r="F111" s="54" t="str"/>
      <x:c r="G111" s="54" t="str"/>
      <x:c r="H111" s="54" t="str">
        <x:v>Friction in this area. Good for inventive moves and breaking stale routines; poor for steady, predictable handling.</x:v>
      </x:c>
      <x:c r="I111" s="54" t="str">
        <x:v>Moodiness and over-need collides with instability for its own sake; forcing or splitting it instead of working it through.</x:v>
      </x:c>
      <x:c r="J111" s="54" t="str">
        <x:v>A confrontation builds; the other side comes fully into view.</x:v>
      </x:c>
      <x:c r="K111" s="54" t="str">
        <x:v>The standoff resolves into balance or a split.</x:v>
      </x:c>
      <x:c r="L111" s="54" t="str">
        <x:v>Emotional life meets disruption and the need for freedom. Feelings turn unpredictable, restless, and resistant to routine. Psychologically the opposition is inner tension to integrate: Emotional volatility, sudden moods, and a recoil from anything that feels confining. The growth is owning both sides instead of splitting them.</x:v>
      </x:c>
      <x:c r="M111" s="54" t="str">
        <x:v>{
  "traditional": "classical and traditional sources",
  "modern": "modern aspect cookbook (psychological / popular register)",
  "cyclic": "humanistic / process-oriented source (cyclic model)"
}</x:v>
      </x:c>
      <x:c r="N111" s="54" t="str">
        <x:v>5d96b2d6351c6afc05489d8436374645fa90c01b3abbe1446c49e62c1ffbbba0</x:v>
      </x:c>
      <x:c r="O111" s="54" t="str">
        <x:v>packages/astro-knowledge/data/transits/moon-opposition-uranus.json</x:v>
      </x:c>
    </x:row>
    <x:row r="112" ht="90" customHeight="1">
      <x:c r="A112" s="54" t="n">
        <x:v>110</x:v>
      </x:c>
      <x:c r="B112" s="54" t="str">
        <x:v>sky.moon.square.uranus</x:v>
      </x:c>
      <x:c r="C112" s="54" t="str">
        <x:v>No classical doctrine: Uranus is a modern planet unknown to traditional astrology. Read from the modern and cyclic layers; treat this contact as a slow, generational background tone.</x:v>
      </x:c>
      <x:c r="D112" s="54" t="str">
        <x:v>Emotional life meets disruption and the need for freedom. Feelings turn unpredictable, restless, and resistant to routine. Psychologically the square is inner tension to integrate: Emotional volatility, sudden moods, and a recoil from anything that feels confining. The growth is owning both sides instead of splitting them.</x:v>
      </x:c>
      <x:c r="E112" s="54" t="str">
        <x:v>First / Last Quarter</x:v>
      </x:c>
      <x:c r="F112" s="54" t="str">
        <x:v>Crisis of action: take conscious hold and build a durable form for feeling against disruption, or be thrown off course.</x:v>
      </x:c>
      <x:c r="G112" s="54" t="str">
        <x:v>Crisis of meaning: break down the feeling/disruption form that has outlived its purpose and reorient toward the next cycle.</x:v>
      </x:c>
      <x:c r="H112" s="54" t="str">
        <x:v>Friction in this area. Good for inventive moves and breaking stale routines; poor for steady, predictable handling.</x:v>
      </x:c>
      <x:c r="I112" s="54" t="str">
        <x:v>Moodiness and over-need collides with instability for its own sake; forcing or splitting it instead of working it through.</x:v>
      </x:c>
      <x:c r="J112" s="54" t="str">
        <x:v>Friction builds toward a forced adjustment.</x:v>
      </x:c>
      <x:c r="K112" s="54" t="str">
        <x:v>The crisis passes; what was restructured settles.</x:v>
      </x:c>
      <x:c r="L112" s="54" t="str">
        <x:v>Emotional life meets disruption and the need for freedom. Feelings turn unpredictable, restless, and resistant to routine. Psychologically the square is inner tension to integrate: Emotional volatility, sudden moods, and a recoil from anything that feels confining. The growth is owning both sides instead of splitting them.</x:v>
      </x:c>
      <x:c r="M112" s="54" t="str">
        <x:v>{
  "traditional": "classical and traditional sources",
  "modern": "modern aspect cookbook (psychological / popular register)",
  "cyclic": "humanistic / process-oriented source (cyclic model)"
}</x:v>
      </x:c>
      <x:c r="N112" s="54" t="str">
        <x:v>27721da49a3d55a5250a3b847c572f7695634a27c5d04ce5b677a6629203df25</x:v>
      </x:c>
      <x:c r="O112" s="54" t="str">
        <x:v>packages/astro-knowledge/data/transits/moon-square-uranus.json</x:v>
      </x:c>
    </x:row>
    <x:row r="113" ht="90" customHeight="1">
      <x:c r="A113" s="54" t="n">
        <x:v>111</x:v>
      </x:c>
      <x:c r="B113" s="54" t="str">
        <x:v>sky.moon.trine.uranus</x:v>
      </x:c>
      <x:c r="C113" s="54" t="str">
        <x:v>No classical doctrine: Uranus is a modern planet unknown to traditional astrology. Read from the modern and cyclic layers; treat this contact as a slow, generational background tone.</x:v>
      </x:c>
      <x:c r="D113" s="54" t="str">
        <x:v>Emotional life meets disruption and the need for freedom. Feelings turn unpredictable, restless, and resistant to routine. The trine makes this a natural strength: Emotional independence and a quick, inventive instinct; at ease with change. The growth edge is not to coast on the ease.</x:v>
      </x:c>
      <x:c r="E113" s="54" t="str">
        <x:v>Waxing / waning trine</x:v>
      </x:c>
      <x:c r="F113" s="54" t="str">
        <x:v>Feeling and disruption flow together with ease; respond to the opportunity.</x:v>
      </x:c>
      <x:c r="G113" s="54" t="str">
        <x:v>Distribute and give transmissible form to what feeling and disruption have realized.</x:v>
      </x:c>
      <x:c r="H113" s="54" t="str">
        <x:v>An opening in this area. Good for inventive moves and breaking stale routines; poor for steady, predictable handling.</x:v>
      </x:c>
      <x:c r="I113" s="54" t="str">
        <x:v>The ease lets moodiness and over-need and instability for its own sake go unchecked, or the opening pass unused.</x:v>
      </x:c>
      <x:c r="J113" s="54" t="str">
        <x:v>Ease and support build and arrive on their own.</x:v>
      </x:c>
      <x:c r="K113" s="54" t="str">
        <x:v>The ease withdraws; the flow passes, used or not.</x:v>
      </x:c>
      <x:c r="L113" s="54" t="str">
        <x:v>Emotional life meets disruption and the need for freedom. Feelings turn unpredictable, restless, and resistant to routine. The trine makes this a natural strength: Emotional independence and a quick, inventive instinct; at ease with change. The growth edge is not to coast on the ease.</x:v>
      </x:c>
      <x:c r="M113" s="54" t="str">
        <x:v>{
  "traditional": "classical and traditional sources",
  "modern": "modern aspect cookbook (psychological / popular register)",
  "cyclic": "humanistic / process-oriented source (cyclic model)"
}</x:v>
      </x:c>
      <x:c r="N113" s="54" t="str">
        <x:v>2fbb8b77c836a76cd3e3b6dc138464fc6c570a581d81a5d6363aef4e86e127be</x:v>
      </x:c>
      <x:c r="O113" s="54" t="str">
        <x:v>packages/astro-knowledge/data/transits/moon-trine-uranus.json</x:v>
      </x:c>
    </x:row>
    <x:row r="114" ht="90" customHeight="1">
      <x:c r="A114" s="54" t="n">
        <x:v>112</x:v>
      </x:c>
      <x:c r="B114" s="54" t="str">
        <x:v>sky.moon.sextile.uranus</x:v>
      </x:c>
      <x:c r="C114" s="54" t="str">
        <x:v>No classical doctrine: Uranus is a modern planet unknown to traditional astrology. Read from the modern and cyclic layers; treat this contact as a slow, generational background tone.</x:v>
      </x:c>
      <x:c r="D114" s="54" t="str">
        <x:v>Emotional life meets disruption and the need for freedom. Feelings turn unpredictable, restless, and resistant to routine. The sextile makes this a natural strength: Emotional independence and a quick, inventive instinct; at ease with change. The growth edge is not to coast on the ease.</x:v>
      </x:c>
      <x:c r="E114" s="54" t="str">
        <x:v>Waxing / waning sextile</x:v>
      </x:c>
      <x:c r="F114" s="54" t="str">
        <x:v>A chance to organize feeling and disruption into a new form; it must be actively taken up.</x:v>
      </x:c>
      <x:c r="G114" s="54" t="str">
        <x:v>Reorganize and share what feeling and disruption have taught; communicate the insight.</x:v>
      </x:c>
      <x:c r="H114" s="54" t="str">
        <x:v>An opening in this area. Good for inventive moves and breaking stale routines; poor for steady, predictable handling.</x:v>
      </x:c>
      <x:c r="I114" s="54" t="str">
        <x:v>The ease lets moodiness and over-need and instability for its own sake go unchecked, or the opening pass unused.</x:v>
      </x:c>
      <x:c r="J114" s="54" t="str">
        <x:v>A supportive opening becomes available; offered, not automatic.</x:v>
      </x:c>
      <x:c r="K114" s="54" t="str">
        <x:v>The opening closes; unused, it passes.</x:v>
      </x:c>
      <x:c r="L114" s="54" t="str">
        <x:v>Emotional life meets disruption and the need for freedom. Feelings turn unpredictable, restless, and resistant to routine. The sextile makes this a natural strength: Emotional independence and a quick, inventive instinct; at ease with change. The growth edge is not to coast on the ease.</x:v>
      </x:c>
      <x:c r="M114" s="54" t="str">
        <x:v>{
  "traditional": "classical and traditional sources",
  "modern": "modern aspect cookbook (psychological / popular register)",
  "cyclic": "humanistic / process-oriented source (cyclic model)"
}</x:v>
      </x:c>
      <x:c r="N114" s="54" t="str">
        <x:v>7e6ac68ea0d2af7f853d70db5b2a69c3d60eccf8b0002ffb13cd77caaa9a8c78</x:v>
      </x:c>
      <x:c r="O114" s="54" t="str">
        <x:v>packages/astro-knowledge/data/transits/moon-sextile-uranus.json</x:v>
      </x:c>
    </x:row>
    <x:row r="115" ht="90" customHeight="1">
      <x:c r="A115" s="54" t="n">
        <x:v>113</x:v>
      </x:c>
      <x:c r="B115" s="54" t="str">
        <x:v>sky.moon.conjunction.venus</x:v>
      </x:c>
      <x:c r="C115" s="54" t="str">
        <x:v>the Moon conjunct Venus: the body, home, and daily needs fused with love, money, and pleasure. The two act as one and the combined significations are hard to separate.</x:v>
      </x:c>
      <x:c r="D115" s="54" t="str">
        <x:v>Feelings meet charm and pleasure. Warmth is expressed instinctively, with a strong love of comfort and beauty. Fused, these drives are difficult to separate and ask to be consciously integrated rather than acted out blindly.</x:v>
      </x:c>
      <x:c r="E115" s="54" t="str">
        <x:v>New (seed)</x:v>
      </x:c>
      <x:c r="F115" s="54" t="str"/>
      <x:c r="G115" s="54" t="str"/>
      <x:c r="H115" s="54" t="str">
        <x:v>Concentrated focus in this area. Likable and warm; watch indulgence and shaky money instincts.</x:v>
      </x:c>
      <x:c r="I115" s="54" t="str">
        <x:v>Moodiness and over-need fused with indulgence and vanity, with no distance to tell them apart.</x:v>
      </x:c>
      <x:c r="J115" s="54" t="str">
        <x:v>The two fuse and intensify as they close in.</x:v>
      </x:c>
      <x:c r="K115" s="54" t="str">
        <x:v>The fused theme peaks and discharges.</x:v>
      </x:c>
      <x:c r="L115" s="54" t="str">
        <x:v>Feelings meet charm and pleasure. Warmth is expressed instinctively, with a strong love of comfort and beauty. Fused, these drives are difficult to separate and ask to be consciously integrated rather than acted out blindly.</x:v>
      </x:c>
      <x:c r="M115" s="54" t="str">
        <x:v>{
  "traditional": "classical and traditional sources",
  "modern": "modern aspect cookbook (psychological / popular register)",
  "cyclic": "humanistic / process-oriented source (cyclic model)"
}</x:v>
      </x:c>
      <x:c r="N115" s="54" t="str">
        <x:v>bc032e57551c85df107ecbf33c7992910794fc0de1250080dd8ae60a5ee5932f</x:v>
      </x:c>
      <x:c r="O115" s="54" t="str">
        <x:v>packages/astro-knowledge/data/transits/moon-conjunction-venus.json</x:v>
      </x:c>
    </x:row>
    <x:row r="116" ht="90" customHeight="1">
      <x:c r="A116" s="54" t="n">
        <x:v>114</x:v>
      </x:c>
      <x:c r="B116" s="54" t="str">
        <x:v>sky.moon.opposition.venus</x:v>
      </x:c>
      <x:c r="C116" s="54" t="str">
        <x:v>the Moon opposition Venus: a hard contact. The body, home, and daily needs works against love, money, and pleasure - obstruction, friction, and strained outcomes in these areas.</x:v>
      </x:c>
      <x:c r="D116" s="54" t="str">
        <x:v>Feelings meet charm and pleasure. Warmth is expressed instinctively, with a strong love of comfort and beauty. Psychologically the opposition is inner tension to integrate: Feelings expressed erratically, a tendency to overspend or overindulge, and feeling unliked without cause. The growth is owning both sides instead of splitting them.</x:v>
      </x:c>
      <x:c r="E116" s="54" t="str">
        <x:v>Full (culmination)</x:v>
      </x:c>
      <x:c r="F116" s="54" t="str"/>
      <x:c r="G116" s="54" t="str"/>
      <x:c r="H116" s="54" t="str">
        <x:v>Friction in this area. Likable and warm; watch indulgence and shaky money instincts.</x:v>
      </x:c>
      <x:c r="I116" s="54" t="str">
        <x:v>Moodiness and over-need collides with indulgence and vanity; forcing or splitting it instead of working it through.</x:v>
      </x:c>
      <x:c r="J116" s="54" t="str">
        <x:v>A confrontation builds; the other side comes fully into view.</x:v>
      </x:c>
      <x:c r="K116" s="54" t="str">
        <x:v>The standoff resolves into balance or a split.</x:v>
      </x:c>
      <x:c r="L116" s="54" t="str">
        <x:v>Feelings meet charm and pleasure. Warmth is expressed instinctively, with a strong love of comfort and beauty. Psychologically the opposition is inner tension to integrate: Feelings expressed erratically, a tendency to overspend or overindulge, and feeling unliked without cause. The growth is owning both sides instead of splitting them.</x:v>
      </x:c>
      <x:c r="M116" s="54" t="str">
        <x:v>{
  "traditional": "classical and traditional sources",
  "modern": "modern aspect cookbook (psychological / popular register)",
  "cyclic": "humanistic / process-oriented source (cyclic model)"
}</x:v>
      </x:c>
      <x:c r="N116" s="54" t="str">
        <x:v>6e331ecac5d1eeb44916d70e6e8b15a5ee242af9e29e6ad65e9a01fdcda5d561</x:v>
      </x:c>
      <x:c r="O116" s="54" t="str">
        <x:v>packages/astro-knowledge/data/transits/moon-opposition-venus.json</x:v>
      </x:c>
    </x:row>
    <x:row r="117" ht="90" customHeight="1">
      <x:c r="A117" s="54" t="n">
        <x:v>115</x:v>
      </x:c>
      <x:c r="B117" s="54" t="str">
        <x:v>sky.moon.square.venus</x:v>
      </x:c>
      <x:c r="C117" s="54" t="str">
        <x:v>the Moon square Venus: a hard contact. The body, home, and daily needs works against love, money, and pleasure - obstruction, friction, and strained outcomes in these areas.</x:v>
      </x:c>
      <x:c r="D117" s="54" t="str">
        <x:v>Feelings meet charm and pleasure. Warmth is expressed instinctively, with a strong love of comfort and beauty. Psychologically the square is inner tension to integrate: Feelings expressed erratically, a tendency to overspend or overindulge, and feeling unliked without cause. The growth is owning both sides instead of splitting them.</x:v>
      </x:c>
      <x:c r="E117" s="54" t="str">
        <x:v>First / Last Quarter</x:v>
      </x:c>
      <x:c r="F117" s="54" t="str">
        <x:v>Crisis of action: take conscious hold and build a durable form for feeling against connection, or be thrown off course.</x:v>
      </x:c>
      <x:c r="G117" s="54" t="str">
        <x:v>Crisis of meaning: break down the feeling/connection form that has outlived its purpose and reorient toward the next cycle.</x:v>
      </x:c>
      <x:c r="H117" s="54" t="str">
        <x:v>Friction in this area. Likable and warm; watch indulgence and shaky money instincts.</x:v>
      </x:c>
      <x:c r="I117" s="54" t="str">
        <x:v>Moodiness and over-need collides with indulgence and vanity; forcing or splitting it instead of working it through.</x:v>
      </x:c>
      <x:c r="J117" s="54" t="str">
        <x:v>Friction builds toward a forced adjustment.</x:v>
      </x:c>
      <x:c r="K117" s="54" t="str">
        <x:v>The crisis passes; what was restructured settles.</x:v>
      </x:c>
      <x:c r="L117" s="54" t="str">
        <x:v>Feelings meet charm and pleasure. Warmth is expressed instinctively, with a strong love of comfort and beauty. Psychologically the square is inner tension to integrate: Feelings expressed erratically, a tendency to overspend or overindulge, and feeling unliked without cause. The growth is owning both sides instead of splitting them.</x:v>
      </x:c>
      <x:c r="M117" s="54" t="str">
        <x:v>{
  "traditional": "classical and traditional sources",
  "modern": "modern aspect cookbook (psychological / popular register)",
  "cyclic": "humanistic / process-oriented source (cyclic model)"
}</x:v>
      </x:c>
      <x:c r="N117" s="54" t="str">
        <x:v>e8d518c4a5fd61be079af857f957694be51a25dd6cda488ab6291267c4eb9aa7</x:v>
      </x:c>
      <x:c r="O117" s="54" t="str">
        <x:v>packages/astro-knowledge/data/transits/moon-square-venus.json</x:v>
      </x:c>
    </x:row>
    <x:row r="118" ht="90" customHeight="1">
      <x:c r="A118" s="54" t="n">
        <x:v>116</x:v>
      </x:c>
      <x:c r="B118" s="54" t="str">
        <x:v>sky.moon.trine.venus</x:v>
      </x:c>
      <x:c r="C118" s="54" t="str">
        <x:v>the Moon trine Venus: a soft contact. The body, home, and daily needs supports love, money, and pleasure - cooperation and favorable conditions in these areas.</x:v>
      </x:c>
      <x:c r="D118" s="54" t="str">
        <x:v>Feelings meet charm and pleasure. Warmth is expressed instinctively, with a strong love of comfort and beauty. The trine makes this a natural strength: Naturally charming and emotionally generous. The growth edge is not to coast on the ease.</x:v>
      </x:c>
      <x:c r="E118" s="54" t="str">
        <x:v>Waxing / waning trine</x:v>
      </x:c>
      <x:c r="F118" s="54" t="str">
        <x:v>Feeling and connection flow together with ease; respond to the opportunity.</x:v>
      </x:c>
      <x:c r="G118" s="54" t="str">
        <x:v>Distribute and give transmissible form to what feeling and connection have realized.</x:v>
      </x:c>
      <x:c r="H118" s="54" t="str">
        <x:v>An opening in this area. Likable and warm; watch indulgence and shaky money instincts.</x:v>
      </x:c>
      <x:c r="I118" s="54" t="str">
        <x:v>The ease lets moodiness and over-need and indulgence and vanity go unchecked, or the opening pass unused.</x:v>
      </x:c>
      <x:c r="J118" s="54" t="str">
        <x:v>Ease and support build and arrive on their own.</x:v>
      </x:c>
      <x:c r="K118" s="54" t="str">
        <x:v>The ease withdraws; the flow passes, used or not.</x:v>
      </x:c>
      <x:c r="L118" s="54" t="str">
        <x:v>Feelings meet charm and pleasure. Warmth is expressed instinctively, with a strong love of comfort and beauty. The trine makes this a natural strength: Naturally charming and emotionally generous. The growth edge is not to coast on the ease.</x:v>
      </x:c>
      <x:c r="M118" s="54" t="str">
        <x:v>{
  "traditional": "classical and traditional sources",
  "modern": "modern aspect cookbook (psychological / popular register)",
  "cyclic": "humanistic / process-oriented source (cyclic model)"
}</x:v>
      </x:c>
      <x:c r="N118" s="54" t="str">
        <x:v>28438fd36d8efe31e70cee46db7f5941fc0a21f7bb887871ed0c9cf579a23ee5</x:v>
      </x:c>
      <x:c r="O118" s="54" t="str">
        <x:v>packages/astro-knowledge/data/transits/moon-trine-venus.json</x:v>
      </x:c>
    </x:row>
    <x:row r="119" ht="90" customHeight="1">
      <x:c r="A119" s="54" t="n">
        <x:v>117</x:v>
      </x:c>
      <x:c r="B119" s="54" t="str">
        <x:v>sky.moon.sextile.venus</x:v>
      </x:c>
      <x:c r="C119" s="54" t="str">
        <x:v>the Moon sextile Venus: a soft contact. The body, home, and daily needs supports love, money, and pleasure - cooperation and favorable conditions in these areas.</x:v>
      </x:c>
      <x:c r="D119" s="54" t="str">
        <x:v>Feelings meet charm and pleasure. Warmth is expressed instinctively, with a strong love of comfort and beauty. The sextile makes this a natural strength: Naturally charming and emotionally generous. The growth edge is not to coast on the ease.</x:v>
      </x:c>
      <x:c r="E119" s="54" t="str">
        <x:v>Waxing / waning sextile</x:v>
      </x:c>
      <x:c r="F119" s="54" t="str">
        <x:v>A chance to organize feeling and connection into a new form; it must be actively taken up.</x:v>
      </x:c>
      <x:c r="G119" s="54" t="str">
        <x:v>Reorganize and share what feeling and connection have taught; communicate the insight.</x:v>
      </x:c>
      <x:c r="H119" s="54" t="str">
        <x:v>An opening in this area. Likable and warm; watch indulgence and shaky money instincts.</x:v>
      </x:c>
      <x:c r="I119" s="54" t="str">
        <x:v>The ease lets moodiness and over-need and indulgence and vanity go unchecked, or the opening pass unused.</x:v>
      </x:c>
      <x:c r="J119" s="54" t="str">
        <x:v>A supportive opening becomes available; offered, not automatic.</x:v>
      </x:c>
      <x:c r="K119" s="54" t="str">
        <x:v>The opening closes; unused, it passes.</x:v>
      </x:c>
      <x:c r="L119" s="54" t="str">
        <x:v>Feelings meet charm and pleasure. Warmth is expressed instinctively, with a strong love of comfort and beauty. The sextile makes this a natural strength: Naturally charming and emotionally generous. The growth edge is not to coast on the ease.</x:v>
      </x:c>
      <x:c r="M119" s="54" t="str">
        <x:v>{
  "traditional": "classical and traditional sources",
  "modern": "modern aspect cookbook (psychological / popular register)",
  "cyclic": "humanistic / process-oriented source (cyclic model)"
}</x:v>
      </x:c>
      <x:c r="N119" s="54" t="str">
        <x:v>26925b61b4d4a6e5aa1dc6e5939f7b65ef0fb66c5260b571378c1368e37c6651</x:v>
      </x:c>
      <x:c r="O119" s="54" t="str">
        <x:v>packages/astro-knowledge/data/transits/moon-sextile-venus.json</x:v>
      </x:c>
    </x:row>
    <x:row r="120" ht="90" customHeight="1">
      <x:c r="A120" s="54" t="n">
        <x:v>118</x:v>
      </x:c>
      <x:c r="B120" s="54" t="str">
        <x:v>sky.neptune.conjunction.pluto</x:v>
      </x:c>
      <x:c r="C120" s="54" t="str">
        <x:v>No classical doctrine: Neptune, Pluto is a modern planet unknown to traditional astrology. Read from the modern and cyclic layers; treat this contact as a slow, generational background tone.</x:v>
      </x:c>
      <x:c r="D120" s="54" t="str">
        <x:v>Imagination meets power. A deep generational signature: intensified collective imagination and transformation. Fused, these drives are difficult to separate and ask to be consciously integrated rather than acted out blindly.</x:v>
      </x:c>
      <x:c r="E120" s="54" t="str">
        <x:v>New (seed)</x:v>
      </x:c>
      <x:c r="F120" s="54" t="str"/>
      <x:c r="G120" s="54" t="str"/>
      <x:c r="H120" s="54" t="str">
        <x:v>Concentrated focus in this area. Generational and collective; minimal personal day-to-day meaning.</x:v>
      </x:c>
      <x:c r="I120" s="54" t="str">
        <x:v>Illusion and escapism fused with control and obsession, with no distance to tell them apart.</x:v>
      </x:c>
      <x:c r="J120" s="54" t="str">
        <x:v>The two fuse and intensify as they close in.</x:v>
      </x:c>
      <x:c r="K120" s="54" t="str">
        <x:v>The fused theme peaks and discharges.</x:v>
      </x:c>
      <x:c r="L120" s="54" t="str">
        <x:v>Imagination meets power. A deep generational signature: intensified collective imagination and transformation. Fused, these drives are difficult to separate and ask to be consciously integrated rather than acted out blindly.</x:v>
      </x:c>
      <x:c r="M120" s="54" t="str">
        <x:v>{
  "traditional": "classical and traditional sources",
  "modern": "modern aspect cookbook (psychological / popular register)",
  "cyclic": "humanistic / process-oriented source (cyclic model)"
}</x:v>
      </x:c>
      <x:c r="N120" s="54" t="str">
        <x:v>05a70bbf1334866ddacd08e2cb655bde0960df2bc28a63d55d0ce51957830cf3</x:v>
      </x:c>
      <x:c r="O120" s="54" t="str">
        <x:v>packages/astro-knowledge/data/transits/neptune-conjunction-pluto.json</x:v>
      </x:c>
    </x:row>
    <x:row r="121" ht="90" customHeight="1">
      <x:c r="A121" s="54" t="n">
        <x:v>119</x:v>
      </x:c>
      <x:c r="B121" s="54" t="str">
        <x:v>sky.neptune.opposition.pluto</x:v>
      </x:c>
      <x:c r="C121" s="54" t="str">
        <x:v>No classical doctrine: Neptune, Pluto is a modern planet unknown to traditional astrology. Read from the modern and cyclic layers; treat this contact as a slow, generational background tone.</x:v>
      </x:c>
      <x:c r="D121" s="54" t="str">
        <x:v>Imagination meets power. A deep generational signature: intensified collective imagination and transformation. Psychologically the opposition is inner tension to integrate: Collective illusion fused with destructive power. The growth is owning both sides instead of splitting them.</x:v>
      </x:c>
      <x:c r="E121" s="54" t="str">
        <x:v>Full (culmination)</x:v>
      </x:c>
      <x:c r="F121" s="54" t="str"/>
      <x:c r="G121" s="54" t="str"/>
      <x:c r="H121" s="54" t="str">
        <x:v>Friction in this area. Generational and collective; minimal personal day-to-day meaning.</x:v>
      </x:c>
      <x:c r="I121" s="54" t="str">
        <x:v>Illusion and escapism collides with control and obsession; forcing or splitting it instead of working it through.</x:v>
      </x:c>
      <x:c r="J121" s="54" t="str">
        <x:v>A confrontation builds; the other side comes fully into view.</x:v>
      </x:c>
      <x:c r="K121" s="54" t="str">
        <x:v>The standoff resolves into balance or a split.</x:v>
      </x:c>
      <x:c r="L121" s="54" t="str">
        <x:v>Imagination meets power. A deep generational signature: intensified collective imagination and transformation. Psychologically the opposition is inner tension to integrate: Collective illusion fused with destructive power. The growth is owning both sides instead of splitting them.</x:v>
      </x:c>
      <x:c r="M121" s="54" t="str">
        <x:v>{
  "traditional": "classical and traditional sources",
  "modern": "modern aspect cookbook (psychological / popular register)",
  "cyclic": "humanistic / process-oriented source (cyclic model)"
}</x:v>
      </x:c>
      <x:c r="N121" s="54" t="str">
        <x:v>457083a313976f44ea923c6011c464c4a2857d703442e531c2d5e6ac3910b597</x:v>
      </x:c>
      <x:c r="O121" s="54" t="str">
        <x:v>packages/astro-knowledge/data/transits/neptune-opposition-pluto.json</x:v>
      </x:c>
    </x:row>
    <x:row r="122" ht="90" customHeight="1">
      <x:c r="A122" s="54" t="n">
        <x:v>120</x:v>
      </x:c>
      <x:c r="B122" s="54" t="str">
        <x:v>sky.neptune.square.pluto</x:v>
      </x:c>
      <x:c r="C122" s="54" t="str">
        <x:v>No classical doctrine: Neptune, Pluto is a modern planet unknown to traditional astrology. Read from the modern and cyclic layers; treat this contact as a slow, generational background tone.</x:v>
      </x:c>
      <x:c r="D122" s="54" t="str">
        <x:v>Imagination meets power. A deep generational signature: intensified collective imagination and transformation. Psychologically the square is inner tension to integrate: Collective illusion fused with destructive power. The growth is owning both sides instead of splitting them.</x:v>
      </x:c>
      <x:c r="E122" s="54" t="str">
        <x:v>First / Last Quarter</x:v>
      </x:c>
      <x:c r="F122" s="54" t="str">
        <x:v>Crisis of action: take conscious hold and build a durable form for imagination against power, or be thrown off course.</x:v>
      </x:c>
      <x:c r="G122" s="54" t="str">
        <x:v>Crisis of meaning: break down the imagination/power form that has outlived its purpose and reorient toward the next cycle.</x:v>
      </x:c>
      <x:c r="H122" s="54" t="str">
        <x:v>Friction in this area. Generational and collective; minimal personal day-to-day meaning.</x:v>
      </x:c>
      <x:c r="I122" s="54" t="str">
        <x:v>Illusion and escapism collides with control and obsession; forcing or splitting it instead of working it through.</x:v>
      </x:c>
      <x:c r="J122" s="54" t="str">
        <x:v>Friction builds toward a forced adjustment.</x:v>
      </x:c>
      <x:c r="K122" s="54" t="str">
        <x:v>The crisis passes; what was restructured settles.</x:v>
      </x:c>
      <x:c r="L122" s="54" t="str">
        <x:v>Imagination meets power. A deep generational signature: intensified collective imagination and transformation. Psychologically the square is inner tension to integrate: Collective illusion fused with destructive power. The growth is owning both sides instead of splitting them.</x:v>
      </x:c>
      <x:c r="M122" s="54" t="str">
        <x:v>{
  "traditional": "classical and traditional sources",
  "modern": "modern aspect cookbook (psychological / popular register)",
  "cyclic": "humanistic / process-oriented source (cyclic model)"
}</x:v>
      </x:c>
      <x:c r="N122" s="54" t="str">
        <x:v>e9802f617f79aa3bb3c05ecd7b572780726830e54b1a7bc7e989b6c0761aaebb</x:v>
      </x:c>
      <x:c r="O122" s="54" t="str">
        <x:v>packages/astro-knowledge/data/transits/neptune-square-pluto.json</x:v>
      </x:c>
    </x:row>
    <x:row r="123" ht="90" customHeight="1">
      <x:c r="A123" s="54" t="n">
        <x:v>121</x:v>
      </x:c>
      <x:c r="B123" s="54" t="str">
        <x:v>sky.neptune.trine.pluto</x:v>
      </x:c>
      <x:c r="C123" s="54" t="str">
        <x:v>No classical doctrine: Neptune, Pluto is a modern planet unknown to traditional astrology. Read from the modern and cyclic layers; treat this contact as a slow, generational background tone.</x:v>
      </x:c>
      <x:c r="D123" s="54" t="str">
        <x:v>Imagination meets power. A deep generational signature: intensified collective imagination and transformation. The trine makes this a natural strength: Heightened collective vision. The growth edge is not to coast on the ease.</x:v>
      </x:c>
      <x:c r="E123" s="54" t="str">
        <x:v>Waxing / waning trine</x:v>
      </x:c>
      <x:c r="F123" s="54" t="str">
        <x:v>Imagination and power flow together with ease; respond to the opportunity.</x:v>
      </x:c>
      <x:c r="G123" s="54" t="str">
        <x:v>Distribute and give transmissible form to what imagination and power have realized.</x:v>
      </x:c>
      <x:c r="H123" s="54" t="str">
        <x:v>An opening in this area. Generational and collective; minimal personal day-to-day meaning.</x:v>
      </x:c>
      <x:c r="I123" s="54" t="str">
        <x:v>The ease lets illusion and escapism and control and obsession go unchecked, or the opening pass unused.</x:v>
      </x:c>
      <x:c r="J123" s="54" t="str">
        <x:v>Ease and support build and arrive on their own.</x:v>
      </x:c>
      <x:c r="K123" s="54" t="str">
        <x:v>The ease withdraws; the flow passes, used or not.</x:v>
      </x:c>
      <x:c r="L123" s="54" t="str">
        <x:v>Imagination meets power. A deep generational signature: intensified collective imagination and transformation. The trine makes this a natural strength: Heightened collective vision. The growth edge is not to coast on the ease.</x:v>
      </x:c>
      <x:c r="M123" s="54" t="str">
        <x:v>{
  "traditional": "classical and traditional sources",
  "modern": "modern aspect cookbook (psychological / popular register)",
  "cyclic": "humanistic / process-oriented source (cyclic model)"
}</x:v>
      </x:c>
      <x:c r="N123" s="54" t="str">
        <x:v>d34f624d258f510caafff31fbf5f90de9dc1db97bbdbb47696d09ee9cb21e929</x:v>
      </x:c>
      <x:c r="O123" s="54" t="str">
        <x:v>packages/astro-knowledge/data/transits/neptune-trine-pluto.json</x:v>
      </x:c>
    </x:row>
    <x:row r="124" ht="90" customHeight="1">
      <x:c r="A124" s="54" t="n">
        <x:v>122</x:v>
      </x:c>
      <x:c r="B124" s="54" t="str">
        <x:v>sky.neptune.sextile.pluto</x:v>
      </x:c>
      <x:c r="C124" s="54" t="str">
        <x:v>No classical doctrine: Neptune, Pluto is a modern planet unknown to traditional astrology. Read from the modern and cyclic layers; treat this contact as a slow, generational background tone.</x:v>
      </x:c>
      <x:c r="D124" s="54" t="str">
        <x:v>Imagination meets power. A deep generational signature: intensified collective imagination and transformation. The sextile makes this a natural strength: Heightened collective vision. The growth edge is not to coast on the ease.</x:v>
      </x:c>
      <x:c r="E124" s="54" t="str">
        <x:v>Waxing / waning sextile</x:v>
      </x:c>
      <x:c r="F124" s="54" t="str">
        <x:v>A chance to organize imagination and power into a new form; it must be actively taken up.</x:v>
      </x:c>
      <x:c r="G124" s="54" t="str">
        <x:v>Reorganize and share what imagination and power have taught; communicate the insight.</x:v>
      </x:c>
      <x:c r="H124" s="54" t="str">
        <x:v>An opening in this area. Generational and collective; minimal personal day-to-day meaning.</x:v>
      </x:c>
      <x:c r="I124" s="54" t="str">
        <x:v>The ease lets illusion and escapism and control and obsession go unchecked, or the opening pass unused.</x:v>
      </x:c>
      <x:c r="J124" s="54" t="str">
        <x:v>A supportive opening becomes available; offered, not automatic.</x:v>
      </x:c>
      <x:c r="K124" s="54" t="str">
        <x:v>The opening closes; unused, it passes.</x:v>
      </x:c>
      <x:c r="L124" s="54" t="str">
        <x:v>Imagination meets power. A deep generational signature: intensified collective imagination and transformation. The sextile makes this a natural strength: Heightened collective vision. The growth edge is not to coast on the ease.</x:v>
      </x:c>
      <x:c r="M124" s="54" t="str">
        <x:v>{
  "traditional": "classical and traditional sources",
  "modern": "modern aspect cookbook (psychological / popular register)",
  "cyclic": "humanistic / process-oriented source (cyclic model)"
}</x:v>
      </x:c>
      <x:c r="N124" s="54" t="str">
        <x:v>a3c810d0559f77857af6d6018455a8dfe3ad2f799ad972f12ab5e3eb0e1c5926</x:v>
      </x:c>
      <x:c r="O124" s="54" t="str">
        <x:v>packages/astro-knowledge/data/transits/neptune-sextile-pluto.json</x:v>
      </x:c>
    </x:row>
    <x:row r="125" ht="90" customHeight="1">
      <x:c r="A125" s="54" t="n">
        <x:v>123</x:v>
      </x:c>
      <x:c r="B125" s="54" t="str">
        <x:v>sky.saturn.square.lilith</x:v>
      </x:c>
      <x:c r="C125" s="54" t="str"/>
      <x:c r="D125" s="54" t="str"/>
      <x:c r="E125" s="54" t="str"/>
      <x:c r="F125" s="54" t="str"/>
      <x:c r="G125" s="54" t="str"/>
      <x:c r="H125" s="54" t="str">
        <x:v>Pressure finds the weak point in a plan, agreement, or system and makes it harder to pretend the problem is manageable.</x:v>
      </x:c>
      <x:c r="I125" s="54" t="str">
        <x:v>What buckles was already asking people to carry more than their share.</x:v>
      </x:c>
      <x:c r="J125" s="54" t="str">
        <x:v>Shortcuts stop working.</x:v>
      </x:c>
      <x:c r="K125" s="54" t="str">
        <x:v>What still works after the pressure is probably worth keeping.</x:v>
      </x:c>
      <x:c r="L125" s="54" t="str">
        <x:v>patience runs thin for rules, expectations, or responsibilities that have been demanding too much for too long. Shortcuts stop working. Pressure finds the weak point in a plan, agreement, or system and makes it harder to pretend the problem is manageable. What still works after the pressure is probably worth keeping. What buckles was already asking people to carry more than their share.</x:v>
      </x:c>
      <x:c r="M125" s="54" t="str"/>
      <x:c r="N125" s="54" t="str">
        <x:v>c67dcbe73184d98d6fe347994c47701533197434bf2165ded7fbc1e4bcb0adab</x:v>
      </x:c>
      <x:c r="O125" s="54" t="str">
        <x:v>packages/astro-knowledge/data/transits/saturn-square-lilith.json</x:v>
      </x:c>
    </x:row>
    <x:row r="126" ht="90" customHeight="1">
      <x:c r="A126" s="54" t="n">
        <x:v>124</x:v>
      </x:c>
      <x:c r="B126" s="54" t="str">
        <x:v>sky.saturn.conjunction.neptune</x:v>
      </x:c>
      <x:c r="C126" s="54" t="str">
        <x:v>No classical doctrine: Neptune is a modern planet unknown to traditional astrology. Read from the modern and cyclic layers; treat this contact as a slow, generational background tone.</x:v>
      </x:c>
      <x:c r="D126" s="54" t="str">
        <x:v>Structure meets dream. Grounding imagination into reality, or pessimism colliding with illusion. Fused, these drives are difficult to separate and ask to be consciously integrated rather than acted out blindly.</x:v>
      </x:c>
      <x:c r="E126" s="54" t="str">
        <x:v>New (seed)</x:v>
      </x:c>
      <x:c r="F126" s="54" t="str"/>
      <x:c r="G126" s="54" t="str"/>
      <x:c r="H126" s="54" t="str">
        <x:v>Concentrated focus in this area. Disciplined vision realized over time; the task is managing fear.</x:v>
      </x:c>
      <x:c r="I126" s="54" t="str">
        <x:v>Fear and rigidity fused with illusion and escapism, with no distance to tell them apart.</x:v>
      </x:c>
      <x:c r="J126" s="54" t="str">
        <x:v>The two fuse and intensify as they close in.</x:v>
      </x:c>
      <x:c r="K126" s="54" t="str">
        <x:v>The fused theme peaks and discharges.</x:v>
      </x:c>
      <x:c r="L126" s="54" t="str">
        <x:v>Structure meets dream. Grounding imagination into reality, or pessimism colliding with illusion. Fused, these drives are difficult to separate and ask to be consciously integrated rather than acted out blindly.</x:v>
      </x:c>
      <x:c r="M126" s="54" t="str">
        <x:v>{
  "traditional": "classical and traditional sources",
  "modern": "modern aspect cookbook (psychological / popular register)",
  "cyclic": "humanistic / process-oriented source (cyclic model)"
}</x:v>
      </x:c>
      <x:c r="N126" s="54" t="str">
        <x:v>2244d464415c928cb5938f7d6995a95623ab79f23898881a81654298f17c7d90</x:v>
      </x:c>
      <x:c r="O126" s="54" t="str">
        <x:v>packages/astro-knowledge/data/transits/saturn-conjunction-neptune.json</x:v>
      </x:c>
    </x:row>
    <x:row r="127" ht="90" customHeight="1">
      <x:c r="A127" s="54" t="n">
        <x:v>125</x:v>
      </x:c>
      <x:c r="B127" s="54" t="str">
        <x:v>sky.saturn.opposition.neptune</x:v>
      </x:c>
      <x:c r="C127" s="54" t="str">
        <x:v>No classical doctrine: Neptune is a modern planet unknown to traditional astrology. Read from the modern and cyclic layers; treat this contact as a slow, generational background tone.</x:v>
      </x:c>
      <x:c r="D127" s="54" t="str">
        <x:v>Structure meets dream. Grounding imagination into reality, or pessimism colliding with illusion. Psychologically the opposition is inner tension to integrate: Expecting the worst, anxiety, and worry that mostly never materializes. The growth is owning both sides instead of splitting them.</x:v>
      </x:c>
      <x:c r="E127" s="54" t="str">
        <x:v>Full (culmination)</x:v>
      </x:c>
      <x:c r="F127" s="54" t="str"/>
      <x:c r="G127" s="54" t="str"/>
      <x:c r="H127" s="54" t="str">
        <x:v>Friction in this area. Disciplined vision realized over time; the task is managing fear.</x:v>
      </x:c>
      <x:c r="I127" s="54" t="str">
        <x:v>Fear and rigidity collides with illusion and escapism; forcing or splitting it instead of working it through.</x:v>
      </x:c>
      <x:c r="J127" s="54" t="str">
        <x:v>A confrontation builds; the other side comes fully into view.</x:v>
      </x:c>
      <x:c r="K127" s="54" t="str">
        <x:v>The standoff resolves into balance or a split.</x:v>
      </x:c>
      <x:c r="L127" s="54" t="str">
        <x:v>Structure meets dream. Grounding imagination into reality, or pessimism colliding with illusion. Psychologically the opposition is inner tension to integrate: Expecting the worst, anxiety, and worry that mostly never materializes. The growth is owning both sides instead of splitting them.</x:v>
      </x:c>
      <x:c r="M127" s="54" t="str">
        <x:v>{
  "traditional": "classical and traditional sources",
  "modern": "modern aspect cookbook (psychological / popular register)",
  "cyclic": "humanistic / process-oriented source (cyclic model)"
}</x:v>
      </x:c>
      <x:c r="N127" s="54" t="str">
        <x:v>a02fbf5528c167b7c7828795073e8c89c781f2231666bb8019507dea0ac1341a</x:v>
      </x:c>
      <x:c r="O127" s="54" t="str">
        <x:v>packages/astro-knowledge/data/transits/saturn-opposition-neptune.json</x:v>
      </x:c>
    </x:row>
    <x:row r="128" ht="90" customHeight="1">
      <x:c r="A128" s="54" t="n">
        <x:v>126</x:v>
      </x:c>
      <x:c r="B128" s="54" t="str">
        <x:v>sky.saturn.square.neptune</x:v>
      </x:c>
      <x:c r="C128" s="54" t="str">
        <x:v>No classical doctrine: Neptune is a modern planet unknown to traditional astrology. Read from the modern and cyclic layers; treat this contact as a slow, generational background tone.</x:v>
      </x:c>
      <x:c r="D128" s="54" t="str">
        <x:v>Structure meets dream. Grounding imagination into reality, or pessimism colliding with illusion. Psychologically the square is inner tension to integrate: Expecting the worst, anxiety, and worry that mostly never materializes. The growth is owning both sides instead of splitting them.</x:v>
      </x:c>
      <x:c r="E128" s="54" t="str">
        <x:v>First / Last Quarter</x:v>
      </x:c>
      <x:c r="F128" s="54" t="str">
        <x:v>Crisis of action: take conscious hold and build a durable form for limit against imagination, or be thrown off course.</x:v>
      </x:c>
      <x:c r="G128" s="54" t="str">
        <x:v>Crisis of meaning: break down the limit/imagination form that has outlived its purpose and reorient toward the next cycle.</x:v>
      </x:c>
      <x:c r="H128" s="54" t="str">
        <x:v>Friction in this area. Disciplined vision realized over time; the task is managing fear.</x:v>
      </x:c>
      <x:c r="I128" s="54" t="str">
        <x:v>Fear and rigidity collides with illusion and escapism; forcing or splitting it instead of working it through.</x:v>
      </x:c>
      <x:c r="J128" s="54" t="str">
        <x:v>Friction builds toward a forced adjustment.</x:v>
      </x:c>
      <x:c r="K128" s="54" t="str">
        <x:v>The crisis passes; what was restructured settles.</x:v>
      </x:c>
      <x:c r="L128" s="54" t="str">
        <x:v>Structure meets dream. Grounding imagination into reality, or pessimism colliding with illusion. Psychologically the square is inner tension to integrate: Expecting the worst, anxiety, and worry that mostly never materializes. The growth is owning both sides instead of splitting them.</x:v>
      </x:c>
      <x:c r="M128" s="54" t="str">
        <x:v>{
  "traditional": "classical and traditional sources",
  "modern": "modern aspect cookbook (psychological / popular register)",
  "cyclic": "humanistic / process-oriented source (cyclic model)"
}</x:v>
      </x:c>
      <x:c r="N128" s="54" t="str">
        <x:v>402e7001471d86f45f0db20abb013f611c617cbd8122ae956802bc57bab7e6b4</x:v>
      </x:c>
      <x:c r="O128" s="54" t="str">
        <x:v>packages/astro-knowledge/data/transits/saturn-square-neptune.json</x:v>
      </x:c>
    </x:row>
    <x:row r="129" ht="90" customHeight="1">
      <x:c r="A129" s="54" t="n">
        <x:v>127</x:v>
      </x:c>
      <x:c r="B129" s="54" t="str">
        <x:v>sky.saturn.trine.neptune</x:v>
      </x:c>
      <x:c r="C129" s="54" t="str">
        <x:v>No classical doctrine: Neptune is a modern planet unknown to traditional astrology. Read from the modern and cyclic layers; treat this contact as a slow, generational background tone.</x:v>
      </x:c>
      <x:c r="D129" s="54" t="str">
        <x:v>Structure meets dream. Grounding imagination into reality, or pessimism colliding with illusion. The trine makes this a natural strength: Dreams worked patiently into something real. The growth edge is not to coast on the ease.</x:v>
      </x:c>
      <x:c r="E129" s="54" t="str">
        <x:v>Waxing / waning trine</x:v>
      </x:c>
      <x:c r="F129" s="54" t="str">
        <x:v>Limit and imagination flow together with ease; respond to the opportunity.</x:v>
      </x:c>
      <x:c r="G129" s="54" t="str">
        <x:v>Distribute and give transmissible form to what limit and imagination have realized.</x:v>
      </x:c>
      <x:c r="H129" s="54" t="str">
        <x:v>An opening in this area. Disciplined vision realized over time; the task is managing fear.</x:v>
      </x:c>
      <x:c r="I129" s="54" t="str">
        <x:v>The ease lets fear and rigidity and illusion and escapism go unchecked, or the opening pass unused.</x:v>
      </x:c>
      <x:c r="J129" s="54" t="str">
        <x:v>Ease and support build and arrive on their own.</x:v>
      </x:c>
      <x:c r="K129" s="54" t="str">
        <x:v>The ease withdraws; the flow passes, used or not.</x:v>
      </x:c>
      <x:c r="L129" s="54" t="str">
        <x:v>Structure meets dream. Grounding imagination into reality, or pessimism colliding with illusion. The trine makes this a natural strength: Dreams worked patiently into something real. The growth edge is not to coast on the ease.</x:v>
      </x:c>
      <x:c r="M129" s="54" t="str">
        <x:v>{
  "traditional": "classical and traditional sources",
  "modern": "modern aspect cookbook (psychological / popular register)",
  "cyclic": "humanistic / process-oriented source (cyclic model)"
}</x:v>
      </x:c>
      <x:c r="N129" s="54" t="str">
        <x:v>f2c542fa2e2adbe08d17a50f1249c76aec0f498ac994839a6acbcde823491f97</x:v>
      </x:c>
      <x:c r="O129" s="54" t="str">
        <x:v>packages/astro-knowledge/data/transits/saturn-trine-neptune.json</x:v>
      </x:c>
    </x:row>
    <x:row r="130" ht="90" customHeight="1">
      <x:c r="A130" s="54" t="n">
        <x:v>128</x:v>
      </x:c>
      <x:c r="B130" s="54" t="str">
        <x:v>sky.saturn.sextile.neptune</x:v>
      </x:c>
      <x:c r="C130" s="54" t="str">
        <x:v>No classical doctrine: Neptune is a modern planet unknown to traditional astrology. Read from the modern and cyclic layers; treat this contact as a slow, generational background tone.</x:v>
      </x:c>
      <x:c r="D130" s="54" t="str">
        <x:v>Structure meets dream. Grounding imagination into reality, or pessimism colliding with illusion. The sextile makes this a natural strength: Dreams worked patiently into something real. The growth edge is not to coast on the ease.</x:v>
      </x:c>
      <x:c r="E130" s="54" t="str">
        <x:v>Waxing / waning sextile</x:v>
      </x:c>
      <x:c r="F130" s="54" t="str">
        <x:v>A chance to organize limit and imagination into a new form; it must be actively taken up.</x:v>
      </x:c>
      <x:c r="G130" s="54" t="str">
        <x:v>Reorganize and share what limit and imagination have taught; communicate the insight.</x:v>
      </x:c>
      <x:c r="H130" s="54" t="str">
        <x:v>An opening in this area. Disciplined vision realized over time; the task is managing fear.</x:v>
      </x:c>
      <x:c r="I130" s="54" t="str">
        <x:v>The ease lets fear and rigidity and illusion and escapism go unchecked, or the opening pass unused.</x:v>
      </x:c>
      <x:c r="J130" s="54" t="str">
        <x:v>A supportive opening becomes available; offered, not automatic.</x:v>
      </x:c>
      <x:c r="K130" s="54" t="str">
        <x:v>The opening closes; unused, it passes.</x:v>
      </x:c>
      <x:c r="L130" s="54" t="str">
        <x:v>Structure meets dream. Grounding imagination into reality, or pessimism colliding with illusion. The sextile makes this a natural strength: Dreams worked patiently into something real. The growth edge is not to coast on the ease.</x:v>
      </x:c>
      <x:c r="M130" s="54" t="str">
        <x:v>{
  "traditional": "classical and traditional sources",
  "modern": "modern aspect cookbook (psychological / popular register)",
  "cyclic": "humanistic / process-oriented source (cyclic model)"
}</x:v>
      </x:c>
      <x:c r="N130" s="54" t="str">
        <x:v>30c01008eec0417f0e63b07958efe9ee37a3e3849251e8b77f3c48707c735ff3</x:v>
      </x:c>
      <x:c r="O130" s="54" t="str">
        <x:v>packages/astro-knowledge/data/transits/saturn-sextile-neptune.json</x:v>
      </x:c>
    </x:row>
    <x:row r="131" ht="90" customHeight="1">
      <x:c r="A131" s="54" t="n">
        <x:v>129</x:v>
      </x:c>
      <x:c r="B131" s="54" t="str">
        <x:v>sky.saturn.conjunction.pluto</x:v>
      </x:c>
      <x:c r="C131" s="54" t="str">
        <x:v>No classical doctrine: Pluto is a modern planet unknown to traditional astrology. Read from the modern and cyclic layers; treat this contact as a slow, generational background tone.</x:v>
      </x:c>
      <x:c r="D131" s="54" t="str">
        <x:v>Limit meets power. Hard discipline, endurance under heavy pressure, real consequences, and control. Fused, these drives are difficult to separate and ask to be consciously integrated rather than acted out blindly.</x:v>
      </x:c>
      <x:c r="E131" s="54" t="str">
        <x:v>New (seed)</x:v>
      </x:c>
      <x:c r="F131" s="54" t="str"/>
      <x:c r="G131" s="54" t="str"/>
      <x:c r="H131" s="54" t="str">
        <x:v>Concentrated focus in this area. Able to carry punishing, transformative work; the risk is harshness.</x:v>
      </x:c>
      <x:c r="I131" s="54" t="str">
        <x:v>Fear and rigidity fused with control and obsession, with no distance to tell them apart.</x:v>
      </x:c>
      <x:c r="J131" s="54" t="str">
        <x:v>The two fuse and intensify as they close in.</x:v>
      </x:c>
      <x:c r="K131" s="54" t="str">
        <x:v>The fused theme peaks and discharges.</x:v>
      </x:c>
      <x:c r="L131" s="54" t="str">
        <x:v>Limit meets power. Hard discipline, endurance under heavy pressure, real consequences, and control. Fused, these drives are difficult to separate and ask to be consciously integrated rather than acted out blindly.</x:v>
      </x:c>
      <x:c r="M131" s="54" t="str">
        <x:v>{
  "traditional": "classical and traditional sources",
  "modern": "modern aspect cookbook (psychological / popular register)",
  "cyclic": "humanistic / process-oriented source (cyclic model)"
}</x:v>
      </x:c>
      <x:c r="N131" s="54" t="str">
        <x:v>d095121ce7e434cc71f6b67dd05d087113b745ab3534e200ff4b801191581bb6</x:v>
      </x:c>
      <x:c r="O131" s="54" t="str">
        <x:v>packages/astro-knowledge/data/transits/saturn-conjunction-pluto.json</x:v>
      </x:c>
    </x:row>
    <x:row r="132" ht="90" customHeight="1">
      <x:c r="A132" s="54" t="n">
        <x:v>130</x:v>
      </x:c>
      <x:c r="B132" s="54" t="str">
        <x:v>sky.saturn.opposition.pluto</x:v>
      </x:c>
      <x:c r="C132" s="54" t="str">
        <x:v>No classical doctrine: Pluto is a modern planet unknown to traditional astrology. Read from the modern and cyclic layers; treat this contact as a slow, generational background tone.</x:v>
      </x:c>
      <x:c r="D132" s="54" t="str">
        <x:v>Limit meets power. Hard discipline, endurance under heavy pressure, real consequences, and control. Psychologically the opposition is inner tension to integrate: Strict accountability and early, immediate retribution; severity and rigidity. The growth is owning both sides instead of splitting them.</x:v>
      </x:c>
      <x:c r="E132" s="54" t="str">
        <x:v>Full (culmination)</x:v>
      </x:c>
      <x:c r="F132" s="54" t="str"/>
      <x:c r="G132" s="54" t="str"/>
      <x:c r="H132" s="54" t="str">
        <x:v>Friction in this area. Able to carry punishing, transformative work; the risk is harshness.</x:v>
      </x:c>
      <x:c r="I132" s="54" t="str">
        <x:v>Fear and rigidity collides with control and obsession; forcing or splitting it instead of working it through.</x:v>
      </x:c>
      <x:c r="J132" s="54" t="str">
        <x:v>A confrontation builds; the other side comes fully into view.</x:v>
      </x:c>
      <x:c r="K132" s="54" t="str">
        <x:v>The standoff resolves into balance or a split.</x:v>
      </x:c>
      <x:c r="L132" s="54" t="str">
        <x:v>Limit meets power. Hard discipline, endurance under heavy pressure, real consequences, and control. Psychologically the opposition is inner tension to integrate: Strict accountability and early, immediate retribution; severity and rigidity. The growth is owning both sides instead of splitting them.</x:v>
      </x:c>
      <x:c r="M132" s="54" t="str">
        <x:v>{
  "traditional": "classical and traditional sources",
  "modern": "modern aspect cookbook (psychological / popular register)",
  "cyclic": "humanistic / process-oriented source (cyclic model)"
}</x:v>
      </x:c>
      <x:c r="N132" s="54" t="str">
        <x:v>bc6f47d3965bb59f055e833fc90221cd3e0789ebe28fb5d3d5e33426632d5ae3</x:v>
      </x:c>
      <x:c r="O132" s="54" t="str">
        <x:v>packages/astro-knowledge/data/transits/saturn-opposition-pluto.json</x:v>
      </x:c>
    </x:row>
    <x:row r="133" ht="90" customHeight="1">
      <x:c r="A133" s="54" t="n">
        <x:v>131</x:v>
      </x:c>
      <x:c r="B133" s="54" t="str">
        <x:v>sky.saturn.square.pluto</x:v>
      </x:c>
      <x:c r="C133" s="54" t="str">
        <x:v>No classical doctrine: Pluto is a modern planet unknown to traditional astrology. Read from the modern and cyclic layers; treat this contact as a slow, generational background tone.</x:v>
      </x:c>
      <x:c r="D133" s="54" t="str">
        <x:v>Limit meets power. Hard discipline, endurance under heavy pressure, real consequences, and control. Psychologically the square is inner tension to integrate: Strict accountability and early, immediate retribution; severity and rigidity. The growth is owning both sides instead of splitting them.</x:v>
      </x:c>
      <x:c r="E133" s="54" t="str">
        <x:v>First / Last Quarter</x:v>
      </x:c>
      <x:c r="F133" s="54" t="str">
        <x:v>Crisis of action: take conscious hold and build a durable form for limit against power, or be thrown off course.</x:v>
      </x:c>
      <x:c r="G133" s="54" t="str">
        <x:v>Crisis of meaning: break down the limit/power form that has outlived its purpose and reorient toward the next cycle.</x:v>
      </x:c>
      <x:c r="H133" s="54" t="str">
        <x:v>Friction in this area. Able to carry punishing, transformative work; the risk is harshness.</x:v>
      </x:c>
      <x:c r="I133" s="54" t="str">
        <x:v>Fear and rigidity collides with control and obsession; forcing or splitting it instead of working it through.</x:v>
      </x:c>
      <x:c r="J133" s="54" t="str">
        <x:v>Friction builds toward a forced adjustment.</x:v>
      </x:c>
      <x:c r="K133" s="54" t="str">
        <x:v>The crisis passes; what was restructured settles.</x:v>
      </x:c>
      <x:c r="L133" s="54" t="str">
        <x:v>Limit meets power. Hard discipline, endurance under heavy pressure, real consequences, and control. Psychologically the square is inner tension to integrate: Strict accountability and early, immediate retribution; severity and rigidity. The growth is owning both sides instead of splitting them.</x:v>
      </x:c>
      <x:c r="M133" s="54" t="str">
        <x:v>{
  "traditional": "classical and traditional sources",
  "modern": "modern aspect cookbook (psychological / popular register)",
  "cyclic": "humanistic / process-oriented source (cyclic model)"
}</x:v>
      </x:c>
      <x:c r="N133" s="54" t="str">
        <x:v>a4a6a86dac922d4573eb029952756820d0864faa2dea12bb5fb7d4df2402f4eb</x:v>
      </x:c>
      <x:c r="O133" s="54" t="str">
        <x:v>packages/astro-knowledge/data/transits/saturn-square-pluto.json</x:v>
      </x:c>
    </x:row>
    <x:row r="134" ht="90" customHeight="1">
      <x:c r="A134" s="54" t="n">
        <x:v>132</x:v>
      </x:c>
      <x:c r="B134" s="54" t="str">
        <x:v>sky.saturn.trine.pluto</x:v>
      </x:c>
      <x:c r="C134" s="54" t="str">
        <x:v>No classical doctrine: Pluto is a modern planet unknown to traditional astrology. Read from the modern and cyclic layers; treat this contact as a slow, generational background tone.</x:v>
      </x:c>
      <x:c r="D134" s="54" t="str">
        <x:v>Limit meets power. Hard discipline, endurance under heavy pressure, real consequences, and control. The trine makes this a natural strength: Capacity for grueling, sustained, transformative effort. The growth edge is not to coast on the ease.</x:v>
      </x:c>
      <x:c r="E134" s="54" t="str">
        <x:v>Waxing / waning trine</x:v>
      </x:c>
      <x:c r="F134" s="54" t="str">
        <x:v>Limit and power flow together with ease; respond to the opportunity.</x:v>
      </x:c>
      <x:c r="G134" s="54" t="str">
        <x:v>Distribute and give transmissible form to what limit and power have realized.</x:v>
      </x:c>
      <x:c r="H134" s="54" t="str">
        <x:v>An opening in this area. Able to carry punishing, transformative work; the risk is harshness.</x:v>
      </x:c>
      <x:c r="I134" s="54" t="str">
        <x:v>The ease lets fear and rigidity and control and obsession go unchecked, or the opening pass unused.</x:v>
      </x:c>
      <x:c r="J134" s="54" t="str">
        <x:v>Ease and support build and arrive on their own.</x:v>
      </x:c>
      <x:c r="K134" s="54" t="str">
        <x:v>The ease withdraws; the flow passes, used or not.</x:v>
      </x:c>
      <x:c r="L134" s="54" t="str">
        <x:v>Limit meets power. Hard discipline, endurance under heavy pressure, real consequences, and control. The trine makes this a natural strength: Capacity for grueling, sustained, transformative effort. The growth edge is not to coast on the ease.</x:v>
      </x:c>
      <x:c r="M134" s="54" t="str">
        <x:v>{
  "traditional": "classical and traditional sources",
  "modern": "modern aspect cookbook (psychological / popular register)",
  "cyclic": "humanistic / process-oriented source (cyclic model)"
}</x:v>
      </x:c>
      <x:c r="N134" s="54" t="str">
        <x:v>852f35d44e7f79c74f722cd75bf4f7d11174c0c53038f9fb820ab29d54ff479b</x:v>
      </x:c>
      <x:c r="O134" s="54" t="str">
        <x:v>packages/astro-knowledge/data/transits/saturn-trine-pluto.json</x:v>
      </x:c>
    </x:row>
    <x:row r="135" ht="90" customHeight="1">
      <x:c r="A135" s="54" t="n">
        <x:v>133</x:v>
      </x:c>
      <x:c r="B135" s="54" t="str">
        <x:v>sky.saturn.sextile.pluto</x:v>
      </x:c>
      <x:c r="C135" s="54" t="str">
        <x:v>No classical doctrine: Pluto is a modern planet unknown to traditional astrology. Read from the modern and cyclic layers; treat this contact as a slow, generational background tone.</x:v>
      </x:c>
      <x:c r="D135" s="54" t="str">
        <x:v>Limit meets power. Hard discipline, endurance under heavy pressure, real consequences, and control. The sextile makes this a natural strength: Capacity for grueling, sustained, transformative effort. The growth edge is not to coast on the ease.</x:v>
      </x:c>
      <x:c r="E135" s="54" t="str">
        <x:v>Waxing / waning sextile</x:v>
      </x:c>
      <x:c r="F135" s="54" t="str">
        <x:v>A chance to organize limit and power into a new form; it must be actively taken up.</x:v>
      </x:c>
      <x:c r="G135" s="54" t="str">
        <x:v>Reorganize and share what limit and power have taught; communicate the insight.</x:v>
      </x:c>
      <x:c r="H135" s="54" t="str">
        <x:v>An opening in this area. Able to carry punishing, transformative work; the risk is harshness.</x:v>
      </x:c>
      <x:c r="I135" s="54" t="str">
        <x:v>The ease lets fear and rigidity and control and obsession go unchecked, or the opening pass unused.</x:v>
      </x:c>
      <x:c r="J135" s="54" t="str">
        <x:v>A supportive opening becomes available; offered, not automatic.</x:v>
      </x:c>
      <x:c r="K135" s="54" t="str">
        <x:v>The opening closes; unused, it passes.</x:v>
      </x:c>
      <x:c r="L135" s="54" t="str">
        <x:v>Limit meets power. Hard discipline, endurance under heavy pressure, real consequences, and control. The sextile makes this a natural strength: Capacity for grueling, sustained, transformative effort. The growth edge is not to coast on the ease.</x:v>
      </x:c>
      <x:c r="M135" s="54" t="str">
        <x:v>{
  "traditional": "classical and traditional sources",
  "modern": "modern aspect cookbook (psychological / popular register)",
  "cyclic": "humanistic / process-oriented source (cyclic model)"
}</x:v>
      </x:c>
      <x:c r="N135" s="54" t="str">
        <x:v>c97003ce1e36907c3da352dec67856a1127f86ace67ab405f7f3be434145dac1</x:v>
      </x:c>
      <x:c r="O135" s="54" t="str">
        <x:v>packages/astro-knowledge/data/transits/saturn-sextile-pluto.json</x:v>
      </x:c>
    </x:row>
    <x:row r="136" ht="90" customHeight="1">
      <x:c r="A136" s="54" t="n">
        <x:v>134</x:v>
      </x:c>
      <x:c r="B136" s="54" t="str">
        <x:v>sky.saturn.conjunction.uranus</x:v>
      </x:c>
      <x:c r="C136" s="54" t="str">
        <x:v>No classical doctrine: Uranus is a modern planet unknown to traditional astrology. Read from the modern and cyclic layers; treat this contact as a slow, generational background tone.</x:v>
      </x:c>
      <x:c r="D136" s="54" t="str">
        <x:v>Order meets disruption. The clash of the established and the radical, the structured and the new. Fused, these drives are difficult to separate and ask to be consciously integrated rather than acted out blindly.</x:v>
      </x:c>
      <x:c r="E136" s="54" t="str">
        <x:v>New (seed)</x:v>
      </x:c>
      <x:c r="F136" s="54" t="str"/>
      <x:c r="G136" s="54" t="str"/>
      <x:c r="H136" s="54" t="str">
        <x:v>Concentrated focus in this area. Innovation inside structure works; an either-or stance stalls.</x:v>
      </x:c>
      <x:c r="I136" s="54" t="str">
        <x:v>Fear and rigidity fused with instability for its own sake, with no distance to tell them apart.</x:v>
      </x:c>
      <x:c r="J136" s="54" t="str">
        <x:v>The two fuse and intensify as they close in.</x:v>
      </x:c>
      <x:c r="K136" s="54" t="str">
        <x:v>The fused theme peaks and discharges.</x:v>
      </x:c>
      <x:c r="L136" s="54" t="str">
        <x:v>Order meets disruption. The clash of the established and the radical, the structured and the new. Fused, these drives are difficult to separate and ask to be consciously integrated rather than acted out blindly.</x:v>
      </x:c>
      <x:c r="M136" s="54" t="str">
        <x:v>{
  "traditional": "classical and traditional sources",
  "modern": "modern aspect cookbook (psychological / popular register)",
  "cyclic": "humanistic / process-oriented source (cyclic model)"
}</x:v>
      </x:c>
      <x:c r="N136" s="54" t="str">
        <x:v>a110cf6b49dffae52e5be71eddd7238191a49a0defa5e7642f684aa868cc218d</x:v>
      </x:c>
      <x:c r="O136" s="54" t="str">
        <x:v>packages/astro-knowledge/data/transits/saturn-conjunction-uranus.json</x:v>
      </x:c>
    </x:row>
    <x:row r="137" ht="90" customHeight="1">
      <x:c r="A137" s="54" t="n">
        <x:v>135</x:v>
      </x:c>
      <x:c r="B137" s="54" t="str">
        <x:v>sky.saturn.opposition.uranus</x:v>
      </x:c>
      <x:c r="C137" s="54" t="str">
        <x:v>No classical doctrine: Uranus is a modern planet unknown to traditional astrology. Read from the modern and cyclic layers; treat this contact as a slow, generational background tone.</x:v>
      </x:c>
      <x:c r="D137" s="54" t="str">
        <x:v>Order meets disruption. The clash of the established and the radical, the structured and the new. Psychologically the opposition is inner tension to integrate: Restlessness fights control; each demands attention and sabotages the other until both are satisfied at once. The growth is owning both sides instead of splitting them.</x:v>
      </x:c>
      <x:c r="E137" s="54" t="str">
        <x:v>Full (culmination)</x:v>
      </x:c>
      <x:c r="F137" s="54" t="str"/>
      <x:c r="G137" s="54" t="str"/>
      <x:c r="H137" s="54" t="str">
        <x:v>Friction in this area. Innovation inside structure works; an either-or stance stalls.</x:v>
      </x:c>
      <x:c r="I137" s="54" t="str">
        <x:v>Fear and rigidity collides with instability for its own sake; forcing or splitting it instead of working it through.</x:v>
      </x:c>
      <x:c r="J137" s="54" t="str">
        <x:v>A confrontation builds; the other side comes fully into view.</x:v>
      </x:c>
      <x:c r="K137" s="54" t="str">
        <x:v>The standoff resolves into balance or a split.</x:v>
      </x:c>
      <x:c r="L137" s="54" t="str">
        <x:v>Order meets disruption. The clash of the established and the radical, the structured and the new. Psychologically the opposition is inner tension to integrate: Restlessness fights control; each demands attention and sabotages the other until both are satisfied at once. The growth is owning both sides instead of splitting them.</x:v>
      </x:c>
      <x:c r="M137" s="54" t="str">
        <x:v>{
  "traditional": "classical and traditional sources",
  "modern": "modern aspect cookbook (psychological / popular register)",
  "cyclic": "humanistic / process-oriented source (cyclic model)"
}</x:v>
      </x:c>
      <x:c r="N137" s="54" t="str">
        <x:v>b7a554e88c84b58688d404c1853b04e922ddf6ad3df4d82948a2edf9e2faca01</x:v>
      </x:c>
      <x:c r="O137" s="54" t="str">
        <x:v>packages/astro-knowledge/data/transits/saturn-opposition-uranus.json</x:v>
      </x:c>
    </x:row>
    <x:row r="138" ht="90" customHeight="1">
      <x:c r="A138" s="54" t="n">
        <x:v>136</x:v>
      </x:c>
      <x:c r="B138" s="54" t="str">
        <x:v>sky.saturn.square.uranus</x:v>
      </x:c>
      <x:c r="C138" s="54" t="str">
        <x:v>No classical doctrine: Uranus is a modern planet unknown to traditional astrology. Read from the modern and cyclic layers; treat this contact as a slow, generational background tone.</x:v>
      </x:c>
      <x:c r="D138" s="54" t="str">
        <x:v>Order meets disruption. The clash of the established and the radical, the structured and the new. Psychologically the square is inner tension to integrate: Restlessness fights control; each demands attention and sabotages the other until both are satisfied at once. The growth is owning both sides instead of splitting them.</x:v>
      </x:c>
      <x:c r="E138" s="54" t="str">
        <x:v>First / Last Quarter</x:v>
      </x:c>
      <x:c r="F138" s="54" t="str">
        <x:v>Crisis of action: take conscious hold and build a durable form for limit against disruption, or be thrown off course.</x:v>
      </x:c>
      <x:c r="G138" s="54" t="str">
        <x:v>Crisis of meaning: break down the limit/disruption form that has outlived its purpose and reorient toward the next cycle.</x:v>
      </x:c>
      <x:c r="H138" s="54" t="str">
        <x:v>Friction in this area. Innovation inside structure works; an either-or stance stalls.</x:v>
      </x:c>
      <x:c r="I138" s="54" t="str">
        <x:v>Fear and rigidity collides with instability for its own sake; forcing or splitting it instead of working it through.</x:v>
      </x:c>
      <x:c r="J138" s="54" t="str">
        <x:v>Friction builds toward a forced adjustment.</x:v>
      </x:c>
      <x:c r="K138" s="54" t="str">
        <x:v>The crisis passes; what was restructured settles.</x:v>
      </x:c>
      <x:c r="L138" s="54" t="str">
        <x:v>Order meets disruption. The clash of the established and the radical, the structured and the new. Psychologically the square is inner tension to integrate: Restlessness fights control; each demands attention and sabotages the other until both are satisfied at once. The growth is owning both sides instead of splitting them.</x:v>
      </x:c>
      <x:c r="M138" s="54" t="str">
        <x:v>{
  "traditional": "classical and traditional sources",
  "modern": "modern aspect cookbook (psychological / popular register)",
  "cyclic": "humanistic / process-oriented source (cyclic model)"
}</x:v>
      </x:c>
      <x:c r="N138" s="54" t="str">
        <x:v>3698932ab6ae846068c5afb10e5872aff549f10db0b690f68196ca5d1f61837c</x:v>
      </x:c>
      <x:c r="O138" s="54" t="str">
        <x:v>packages/astro-knowledge/data/transits/saturn-square-uranus.json</x:v>
      </x:c>
    </x:row>
    <x:row r="139" ht="90" customHeight="1">
      <x:c r="A139" s="54" t="n">
        <x:v>137</x:v>
      </x:c>
      <x:c r="B139" s="54" t="str">
        <x:v>sky.saturn.trine.uranus</x:v>
      </x:c>
      <x:c r="C139" s="54" t="str">
        <x:v>No classical doctrine: Uranus is a modern planet unknown to traditional astrology. Read from the modern and cyclic layers; treat this contact as a slow, generational background tone.</x:v>
      </x:c>
      <x:c r="D139" s="54" t="str">
        <x:v>Order meets disruption. The clash of the established and the radical, the structured and the new. The trine makes this a natural strength: You naturally do the new thing in a disciplined way, and the old thing with a fresh twist. The growth edge is not to coast on the ease.</x:v>
      </x:c>
      <x:c r="E139" s="54" t="str">
        <x:v>Waxing / waning trine</x:v>
      </x:c>
      <x:c r="F139" s="54" t="str">
        <x:v>Limit and disruption flow together with ease; respond to the opportunity.</x:v>
      </x:c>
      <x:c r="G139" s="54" t="str">
        <x:v>Distribute and give transmissible form to what limit and disruption have realized.</x:v>
      </x:c>
      <x:c r="H139" s="54" t="str">
        <x:v>An opening in this area. Innovation inside structure works; an either-or stance stalls.</x:v>
      </x:c>
      <x:c r="I139" s="54" t="str">
        <x:v>The ease lets fear and rigidity and instability for its own sake go unchecked, or the opening pass unused.</x:v>
      </x:c>
      <x:c r="J139" s="54" t="str">
        <x:v>Ease and support build and arrive on their own.</x:v>
      </x:c>
      <x:c r="K139" s="54" t="str">
        <x:v>The ease withdraws; the flow passes, used or not.</x:v>
      </x:c>
      <x:c r="L139" s="54" t="str">
        <x:v>Order meets disruption. The clash of the established and the radical, the structured and the new. The trine makes this a natural strength: You naturally do the new thing in a disciplined way, and the old thing with a fresh twist. The growth edge is not to coast on the ease.</x:v>
      </x:c>
      <x:c r="M139" s="54" t="str">
        <x:v>{
  "traditional": "classical and traditional sources",
  "modern": "modern aspect cookbook (psychological / popular register)",
  "cyclic": "humanistic / process-oriented source (cyclic model)"
}</x:v>
      </x:c>
      <x:c r="N139" s="54" t="str">
        <x:v>5a892889cb49e04ec8094e1a49b48937f4ac73c6072c1fb0bd0621d3cbb43c75</x:v>
      </x:c>
      <x:c r="O139" s="54" t="str">
        <x:v>packages/astro-knowledge/data/transits/saturn-trine-uranus.json</x:v>
      </x:c>
    </x:row>
    <x:row r="140" ht="90" customHeight="1">
      <x:c r="A140" s="54" t="n">
        <x:v>138</x:v>
      </x:c>
      <x:c r="B140" s="54" t="str">
        <x:v>sky.saturn.sextile.uranus</x:v>
      </x:c>
      <x:c r="C140" s="54" t="str">
        <x:v>No classical doctrine: Uranus is a modern planet unknown to traditional astrology. Read from the modern and cyclic layers; treat this contact as a slow, generational background tone.</x:v>
      </x:c>
      <x:c r="D140" s="54" t="str">
        <x:v>Order meets disruption. The clash of the established and the radical, the structured and the new. The sextile makes this a natural strength: You naturally do the new thing in a disciplined way, and the old thing with a fresh twist. The growth edge is not to coast on the ease.</x:v>
      </x:c>
      <x:c r="E140" s="54" t="str">
        <x:v>Waxing / waning sextile</x:v>
      </x:c>
      <x:c r="F140" s="54" t="str">
        <x:v>A chance to organize limit and disruption into a new form; it must be actively taken up.</x:v>
      </x:c>
      <x:c r="G140" s="54" t="str">
        <x:v>Reorganize and share what limit and disruption have taught; communicate the insight.</x:v>
      </x:c>
      <x:c r="H140" s="54" t="str">
        <x:v>An opening in this area. Innovation inside structure works; an either-or stance stalls.</x:v>
      </x:c>
      <x:c r="I140" s="54" t="str">
        <x:v>The ease lets fear and rigidity and instability for its own sake go unchecked, or the opening pass unused.</x:v>
      </x:c>
      <x:c r="J140" s="54" t="str">
        <x:v>A supportive opening becomes available; offered, not automatic.</x:v>
      </x:c>
      <x:c r="K140" s="54" t="str">
        <x:v>The opening closes; unused, it passes.</x:v>
      </x:c>
      <x:c r="L140" s="54" t="str">
        <x:v>Order meets disruption. The clash of the established and the radical, the structured and the new. The sextile makes this a natural strength: You naturally do the new thing in a disciplined way, and the old thing with a fresh twist. The growth edge is not to coast on the ease.</x:v>
      </x:c>
      <x:c r="M140" s="54" t="str">
        <x:v>{
  "traditional": "classical and traditional sources",
  "modern": "modern aspect cookbook (psychological / popular register)",
  "cyclic": "humanistic / process-oriented source (cyclic model)"
}</x:v>
      </x:c>
      <x:c r="N140" s="54" t="str">
        <x:v>1ca99f4a9886bbbba12e87c729ae03b09510bcec3c964122e4d376cfb76f0e23</x:v>
      </x:c>
      <x:c r="O140" s="54" t="str">
        <x:v>packages/astro-knowledge/data/transits/saturn-sextile-uranus.json</x:v>
      </x:c>
    </x:row>
    <x:row r="141" ht="90" customHeight="1">
      <x:c r="A141" s="54" t="n">
        <x:v>139</x:v>
      </x:c>
      <x:c r="B141" s="54" t="str">
        <x:v>sky.sun.conjunction.jupiter</x:v>
      </x:c>
      <x:c r="C141" s="54" t="str">
        <x:v>the Sun conjunct Jupiter: vitality, authority, and recognition fused with growth, fortune, and patronage. The two act as one and the combined significations are hard to separate.</x:v>
      </x:c>
      <x:c r="D141" s="54" t="str">
        <x:v>Identity meets optimism, expansion, and luck. Confidence to venture and a sense that the odds will cooperate. Fused, these drives are difficult to separate and ask to be consciously integrated rather than acted out blindly.</x:v>
      </x:c>
      <x:c r="E141" s="54" t="str">
        <x:v>New (seed)</x:v>
      </x:c>
      <x:c r="F141" s="54" t="str"/>
      <x:c r="G141" s="54" t="str"/>
      <x:c r="H141" s="54" t="str">
        <x:v>Concentrated focus in this area. Confidence and opportunity, with overextension as the standing risk.</x:v>
      </x:c>
      <x:c r="I141" s="54" t="str">
        <x:v>Egotism and needing to be the center fused with excess and overreach, with no distance to tell them apart.</x:v>
      </x:c>
      <x:c r="J141" s="54" t="str">
        <x:v>The two fuse and intensify as they close in.</x:v>
      </x:c>
      <x:c r="K141" s="54" t="str">
        <x:v>The fused theme peaks and discharges.</x:v>
      </x:c>
      <x:c r="L141" s="54" t="str">
        <x:v>Identity meets optimism, expansion, and luck. Confidence to venture and a sense that the odds will cooperate. Fused, these drives are difficult to separate and ask to be consciously integrated rather than acted out blindly.</x:v>
      </x:c>
      <x:c r="M141" s="54" t="str">
        <x:v>{
  "traditional": "classical and traditional sources",
  "modern": "modern aspect cookbook (psychological / popular register)",
  "cyclic": "humanistic / process-oriented source (cyclic model)"
}</x:v>
      </x:c>
      <x:c r="N141" s="54" t="str">
        <x:v>54ee123d2b70cd29131ec91886c037d35d02f487a1903ce5f291308f39aa9bea</x:v>
      </x:c>
      <x:c r="O141" s="54" t="str">
        <x:v>packages/astro-knowledge/data/transits/sun-conjunction-jupiter.json</x:v>
      </x:c>
    </x:row>
    <x:row r="142" ht="90" customHeight="1">
      <x:c r="A142" s="54" t="n">
        <x:v>140</x:v>
      </x:c>
      <x:c r="B142" s="54" t="str">
        <x:v>sky.sun.opposition.jupiter</x:v>
      </x:c>
      <x:c r="C142" s="54" t="str">
        <x:v>the Sun opposition Jupiter: a hard contact. Vitality, authority, and recognition works against growth, fortune, and patronage - obstruction, friction, and strained outcomes in these areas.</x:v>
      </x:c>
      <x:c r="D142" s="54" t="str">
        <x:v>Identity meets optimism, expansion, and luck. Confidence to venture and a sense that the odds will cooperate. Psychologically the opposition is inner tension to integrate: The same confidence overreaches. Sooner or later the luck gets pushed too far. The growth is owning both sides instead of splitting them.</x:v>
      </x:c>
      <x:c r="E142" s="54" t="str">
        <x:v>Full (culmination)</x:v>
      </x:c>
      <x:c r="F142" s="54" t="str"/>
      <x:c r="G142" s="54" t="str"/>
      <x:c r="H142" s="54" t="str">
        <x:v>Friction in this area. Confidence and opportunity, with overextension as the standing risk.</x:v>
      </x:c>
      <x:c r="I142" s="54" t="str">
        <x:v>Egotism and needing to be the center collides with excess and overreach; forcing or splitting it instead of working it through.</x:v>
      </x:c>
      <x:c r="J142" s="54" t="str">
        <x:v>A confrontation builds; the other side comes fully into view.</x:v>
      </x:c>
      <x:c r="K142" s="54" t="str">
        <x:v>The standoff resolves into balance or a split.</x:v>
      </x:c>
      <x:c r="L142" s="54" t="str">
        <x:v>Identity meets optimism, expansion, and luck. Confidence to venture and a sense that the odds will cooperate. Psychologically the opposition is inner tension to integrate: The same confidence overreaches. Sooner or later the luck gets pushed too far. The growth is owning both sides instead of splitting them.</x:v>
      </x:c>
      <x:c r="M142" s="54" t="str">
        <x:v>{
  "traditional": "classical and traditional sources",
  "modern": "modern aspect cookbook (psychological / popular register)",
  "cyclic": "humanistic / process-oriented source (cyclic model)"
}</x:v>
      </x:c>
      <x:c r="N142" s="54" t="str">
        <x:v>8fcfe0e75a5680ebe3d5ac7beb384dd557fd7e83d3ff512f3953e8ec4989bfa6</x:v>
      </x:c>
      <x:c r="O142" s="54" t="str">
        <x:v>packages/astro-knowledge/data/transits/sun-opposition-jupiter.json</x:v>
      </x:c>
    </x:row>
    <x:row r="143" ht="90" customHeight="1">
      <x:c r="A143" s="54" t="n">
        <x:v>141</x:v>
      </x:c>
      <x:c r="B143" s="54" t="str">
        <x:v>sky.sun.square.jupiter</x:v>
      </x:c>
      <x:c r="C143" s="54" t="str">
        <x:v>the Sun square Jupiter: a hard contact. Vitality, authority, and recognition works against growth, fortune, and patronage - obstruction, friction, and strained outcomes in these areas.</x:v>
      </x:c>
      <x:c r="D143" s="54" t="str">
        <x:v>Identity meets optimism, expansion, and luck. Confidence to venture and a sense that the odds will cooperate. Psychologically the square is inner tension to integrate: The same confidence overreaches. Sooner or later the luck gets pushed too far. The growth is owning both sides instead of splitting them.</x:v>
      </x:c>
      <x:c r="E143" s="54" t="str">
        <x:v>First / Last Quarter</x:v>
      </x:c>
      <x:c r="F143" s="54" t="str">
        <x:v>Crisis of action: take conscious hold and build a durable form for selfhood against growth, or be thrown off course.</x:v>
      </x:c>
      <x:c r="G143" s="54" t="str">
        <x:v>Crisis of meaning: break down the selfhood/growth form that has outlived its purpose and reorient toward the next cycle.</x:v>
      </x:c>
      <x:c r="H143" s="54" t="str">
        <x:v>Friction in this area. Confidence and opportunity, with overextension as the standing risk.</x:v>
      </x:c>
      <x:c r="I143" s="54" t="str">
        <x:v>Egotism and needing to be the center collides with excess and overreach; forcing or splitting it instead of working it through.</x:v>
      </x:c>
      <x:c r="J143" s="54" t="str">
        <x:v>Friction builds toward a forced adjustment.</x:v>
      </x:c>
      <x:c r="K143" s="54" t="str">
        <x:v>The crisis passes; what was restructured settles.</x:v>
      </x:c>
      <x:c r="L143" s="54" t="str">
        <x:v>Identity meets optimism, expansion, and luck. Confidence to venture and a sense that the odds will cooperate. Psychologically the square is inner tension to integrate: The same confidence overreaches. Sooner or later the luck gets pushed too far. The growth is owning both sides instead of splitting them.</x:v>
      </x:c>
      <x:c r="M143" s="54" t="str">
        <x:v>{
  "traditional": "classical and traditional sources",
  "modern": "modern aspect cookbook (psychological / popular register)",
  "cyclic": "humanistic / process-oriented source (cyclic model)"
}</x:v>
      </x:c>
      <x:c r="N143" s="54" t="str">
        <x:v>05467db99ff7c0a5d1a75ab80a741b065a36e5bda4d1e5eb3265483610e4df8b</x:v>
      </x:c>
      <x:c r="O143" s="54" t="str">
        <x:v>packages/astro-knowledge/data/transits/sun-square-jupiter.json</x:v>
      </x:c>
    </x:row>
    <x:row r="144" ht="90" customHeight="1">
      <x:c r="A144" s="54" t="n">
        <x:v>142</x:v>
      </x:c>
      <x:c r="B144" s="54" t="str">
        <x:v>sky.sun.trine.jupiter</x:v>
      </x:c>
      <x:c r="C144" s="54" t="str">
        <x:v>the Sun trine Jupiter: a soft contact. Vitality, authority, and recognition supports growth, fortune, and patronage - cooperation and favorable conditions in these areas.</x:v>
      </x:c>
      <x:c r="D144" s="54" t="str">
        <x:v>Identity meets optimism, expansion, and luck. Confidence to venture and a sense that the odds will cooperate. The trine makes this a natural strength: Genuine confidence and opportunity; doors open more readily. The growth edge is not to coast on the ease.</x:v>
      </x:c>
      <x:c r="E144" s="54" t="str">
        <x:v>Waxing / waning trine</x:v>
      </x:c>
      <x:c r="F144" s="54" t="str">
        <x:v>Selfhood and growth flow together with ease; respond to the opportunity.</x:v>
      </x:c>
      <x:c r="G144" s="54" t="str">
        <x:v>Distribute and give transmissible form to what selfhood and growth have realized.</x:v>
      </x:c>
      <x:c r="H144" s="54" t="str">
        <x:v>An opening in this area. Confidence and opportunity, with overextension as the standing risk.</x:v>
      </x:c>
      <x:c r="I144" s="54" t="str">
        <x:v>The ease lets egotism and needing to be the center and excess and overreach go unchecked, or the opening pass unused.</x:v>
      </x:c>
      <x:c r="J144" s="54" t="str">
        <x:v>Ease and support build and arrive on their own.</x:v>
      </x:c>
      <x:c r="K144" s="54" t="str">
        <x:v>The ease withdraws; the flow passes, used or not.</x:v>
      </x:c>
      <x:c r="L144" s="54" t="str">
        <x:v>Identity meets optimism, expansion, and luck. Confidence to venture and a sense that the odds will cooperate. The trine makes this a natural strength: Genuine confidence and opportunity; doors open more readily. The growth edge is not to coast on the ease.</x:v>
      </x:c>
      <x:c r="M144" s="54" t="str">
        <x:v>{
  "traditional": "classical and traditional sources",
  "modern": "modern aspect cookbook (psychological / popular register)",
  "cyclic": "humanistic / process-oriented source (cyclic model)"
}</x:v>
      </x:c>
      <x:c r="N144" s="54" t="str">
        <x:v>eb502ace1c29e7b555550f04af07b99ce84186867852d53fa5549f5615e337b6</x:v>
      </x:c>
      <x:c r="O144" s="54" t="str">
        <x:v>packages/astro-knowledge/data/transits/sun-trine-jupiter.json</x:v>
      </x:c>
    </x:row>
    <x:row r="145" ht="90" customHeight="1">
      <x:c r="A145" s="54" t="n">
        <x:v>143</x:v>
      </x:c>
      <x:c r="B145" s="54" t="str">
        <x:v>sky.sun.sextile.jupiter</x:v>
      </x:c>
      <x:c r="C145" s="54" t="str">
        <x:v>the Sun sextile Jupiter: a soft contact. Vitality, authority, and recognition supports growth, fortune, and patronage - cooperation and favorable conditions in these areas.</x:v>
      </x:c>
      <x:c r="D145" s="54" t="str">
        <x:v>Identity meets optimism, expansion, and luck. Confidence to venture and a sense that the odds will cooperate. The sextile makes this a natural strength: Genuine confidence and opportunity; doors open more readily. The growth edge is not to coast on the ease.</x:v>
      </x:c>
      <x:c r="E145" s="54" t="str">
        <x:v>Waxing / waning sextile</x:v>
      </x:c>
      <x:c r="F145" s="54" t="str">
        <x:v>A chance to organize selfhood and growth into a new form; it must be actively taken up.</x:v>
      </x:c>
      <x:c r="G145" s="54" t="str">
        <x:v>Reorganize and share what selfhood and growth have taught; communicate the insight.</x:v>
      </x:c>
      <x:c r="H145" s="54" t="str">
        <x:v>An opening in this area. Confidence and opportunity, with overextension as the standing risk.</x:v>
      </x:c>
      <x:c r="I145" s="54" t="str">
        <x:v>The ease lets egotism and needing to be the center and excess and overreach go unchecked, or the opening pass unused.</x:v>
      </x:c>
      <x:c r="J145" s="54" t="str">
        <x:v>A supportive opening becomes available; offered, not automatic.</x:v>
      </x:c>
      <x:c r="K145" s="54" t="str">
        <x:v>The opening closes; unused, it passes.</x:v>
      </x:c>
      <x:c r="L145" s="54" t="str">
        <x:v>Identity meets optimism, expansion, and luck. Confidence to venture and a sense that the odds will cooperate. The sextile makes this a natural strength: Genuine confidence and opportunity; doors open more readily. The growth edge is not to coast on the ease.</x:v>
      </x:c>
      <x:c r="M145" s="54" t="str">
        <x:v>{
  "traditional": "classical and traditional sources",
  "modern": "modern aspect cookbook (psychological / popular register)",
  "cyclic": "humanistic / process-oriented source (cyclic model)"
}</x:v>
      </x:c>
      <x:c r="N145" s="54" t="str">
        <x:v>6532ded4e37c68c2283e4872628ebc127105ca16a598e6afd0fe89c59b568b89</x:v>
      </x:c>
      <x:c r="O145" s="54" t="str">
        <x:v>packages/astro-knowledge/data/transits/sun-sextile-jupiter.json</x:v>
      </x:c>
    </x:row>
    <x:row r="146" ht="90" customHeight="1">
      <x:c r="A146" s="54" t="n">
        <x:v>144</x:v>
      </x:c>
      <x:c r="B146" s="54" t="str">
        <x:v>sky.sun.conjunction.mars</x:v>
      </x:c>
      <x:c r="C146" s="54" t="str">
        <x:v>the Sun conjunct Mars: vitality, authority, and recognition fused with action, conflict, and heat. The two act as one and the combined significations are hard to separate.</x:v>
      </x:c>
      <x:c r="D146" s="54" t="str">
        <x:v>Identity meets drive and aggression. Energy, assertion, and the will to act become central to the sense of self. Fused, these drives are difficult to separate and ask to be consciously integrated rather than acted out blindly.</x:v>
      </x:c>
      <x:c r="E146" s="54" t="str">
        <x:v>New (seed)</x:v>
      </x:c>
      <x:c r="F146" s="54" t="str"/>
      <x:c r="G146" s="54" t="str"/>
      <x:c r="H146" s="54" t="str">
        <x:v>Concentrated focus in this area. Initiative and drive; the cost is friction with authority and a tendency to force things.</x:v>
      </x:c>
      <x:c r="I146" s="54" t="str">
        <x:v>Egotism and needing to be the center fused with anger and recklessness, with no distance to tell them apart.</x:v>
      </x:c>
      <x:c r="J146" s="54" t="str">
        <x:v>The two fuse and intensify as they close in.</x:v>
      </x:c>
      <x:c r="K146" s="54" t="str">
        <x:v>The fused theme peaks and discharges.</x:v>
      </x:c>
      <x:c r="L146" s="54" t="str">
        <x:v>Identity meets drive and aggression. Energy, assertion, and the will to act become central to the sense of self. Fused, these drives are difficult to separate and ask to be consciously integrated rather than acted out blindly.</x:v>
      </x:c>
      <x:c r="M146" s="54" t="str">
        <x:v>{
  "traditional": "classical and traditional sources",
  "modern": "modern aspect cookbook (psychological / popular register)",
  "cyclic": "humanistic / process-oriented source (cyclic model)"
}</x:v>
      </x:c>
      <x:c r="N146" s="54" t="str">
        <x:v>162796355ef52cd4a77bc8dc237e5b8ac67cbf18323d2661618e79e202455ed3</x:v>
      </x:c>
      <x:c r="O146" s="54" t="str">
        <x:v>packages/astro-knowledge/data/transits/sun-conjunction-mars.json</x:v>
      </x:c>
    </x:row>
    <x:row r="147" ht="90" customHeight="1">
      <x:c r="A147" s="54" t="n">
        <x:v>145</x:v>
      </x:c>
      <x:c r="B147" s="54" t="str">
        <x:v>sky.sun.opposition.mars</x:v>
      </x:c>
      <x:c r="C147" s="54" t="str">
        <x:v>the Sun opposition Mars: a hard contact. Vitality, authority, and recognition works against action, conflict, and heat - obstruction, friction, and strained outcomes in these areas.</x:v>
      </x:c>
      <x:c r="D147" s="54" t="str">
        <x:v>Identity meets drive and aggression. Energy, assertion, and the will to act become central to the sense of self. Psychologically the opposition is inner tension to integrate: Rejected aggression gets projected outward or erupts as a short fuse, often with defiance of authority. The energy has to be learned and channeled rather than cut off. The growth is owning both sides instead of splitting them.</x:v>
      </x:c>
      <x:c r="E147" s="54" t="str">
        <x:v>Full (culmination)</x:v>
      </x:c>
      <x:c r="F147" s="54" t="str"/>
      <x:c r="G147" s="54" t="str"/>
      <x:c r="H147" s="54" t="str">
        <x:v>Friction in this area. Initiative and drive; the cost is friction with authority and a tendency to force things.</x:v>
      </x:c>
      <x:c r="I147" s="54" t="str">
        <x:v>Egotism and needing to be the center collides with anger and recklessness; forcing or splitting it instead of working it through.</x:v>
      </x:c>
      <x:c r="J147" s="54" t="str">
        <x:v>A confrontation builds; the other side comes fully into view.</x:v>
      </x:c>
      <x:c r="K147" s="54" t="str">
        <x:v>The standoff resolves into balance or a split.</x:v>
      </x:c>
      <x:c r="L147" s="54" t="str">
        <x:v>Identity meets drive and aggression. Energy, assertion, and the will to act become central to the sense of self. Psychologically the opposition is inner tension to integrate: Rejected aggression gets projected outward or erupts as a short fuse, often with defiance of authority. The energy has to be learned and channeled rather than cut off. The growth is owning both sides instead of splitting them.</x:v>
      </x:c>
      <x:c r="M147" s="54" t="str">
        <x:v>{
  "traditional": "classical and traditional sources",
  "modern": "modern aspect cookbook (psychological / popular register)",
  "cyclic": "humanistic / process-oriented source (cyclic model)"
}</x:v>
      </x:c>
      <x:c r="N147" s="54" t="str">
        <x:v>ba9f285698a3f4b57c679f1a7075d7c8bd2f7303768eb450cf5420a0ec33aa01</x:v>
      </x:c>
      <x:c r="O147" s="54" t="str">
        <x:v>packages/astro-knowledge/data/transits/sun-opposition-mars.json</x:v>
      </x:c>
    </x:row>
    <x:row r="148" ht="90" customHeight="1">
      <x:c r="A148" s="54" t="n">
        <x:v>146</x:v>
      </x:c>
      <x:c r="B148" s="54" t="str">
        <x:v>sky.sun.square.mars</x:v>
      </x:c>
      <x:c r="C148" s="54" t="str">
        <x:v>the Sun square Mars: a hard contact. Vitality, authority, and recognition works against action, conflict, and heat - obstruction, friction, and strained outcomes in these areas.</x:v>
      </x:c>
      <x:c r="D148" s="54" t="str">
        <x:v>Identity meets drive and aggression. Energy, assertion, and the will to act become central to the sense of self. Psychologically the square is inner tension to integrate: Rejected aggression gets projected outward or erupts as a short fuse, often with defiance of authority. The energy has to be learned and channeled rather than cut off. The growth is owning both sides instead of splitting them.</x:v>
      </x:c>
      <x:c r="E148" s="54" t="str">
        <x:v>First / Last Quarter</x:v>
      </x:c>
      <x:c r="F148" s="54" t="str">
        <x:v>Crisis of action: take conscious hold and build a durable form for selfhood against drive, or be thrown off course.</x:v>
      </x:c>
      <x:c r="G148" s="54" t="str">
        <x:v>Crisis of meaning: break down the selfhood/drive form that has outlived its purpose and reorient toward the next cycle.</x:v>
      </x:c>
      <x:c r="H148" s="54" t="str">
        <x:v>Friction in this area. Initiative and drive; the cost is friction with authority and a tendency to force things.</x:v>
      </x:c>
      <x:c r="I148" s="54" t="str">
        <x:v>Egotism and needing to be the center collides with anger and recklessness; forcing or splitting it instead of working it through.</x:v>
      </x:c>
      <x:c r="J148" s="54" t="str">
        <x:v>Friction builds toward a forced adjustment.</x:v>
      </x:c>
      <x:c r="K148" s="54" t="str">
        <x:v>The crisis passes; what was restructured settles.</x:v>
      </x:c>
      <x:c r="L148" s="54" t="str">
        <x:v>Identity meets drive and aggression. Energy, assertion, and the will to act become central to the sense of self. Psychologically the square is inner tension to integrate: Rejected aggression gets projected outward or erupts as a short fuse, often with defiance of authority. The energy has to be learned and channeled rather than cut off. The growth is owning both sides instead of splitting them.</x:v>
      </x:c>
      <x:c r="M148" s="54" t="str">
        <x:v>{
  "traditional": "classical and traditional sources",
  "modern": "modern aspect cookbook (psychological / popular register)",
  "cyclic": "humanistic / process-oriented source (cyclic model)"
}</x:v>
      </x:c>
      <x:c r="N148" s="54" t="str">
        <x:v>68d160aecf4dff39cb81749889397e9cceaa2ad4b341984c26a76a416892f654</x:v>
      </x:c>
      <x:c r="O148" s="54" t="str">
        <x:v>packages/astro-knowledge/data/transits/sun-square-mars.json</x:v>
      </x:c>
    </x:row>
    <x:row r="149" ht="90" customHeight="1">
      <x:c r="A149" s="54" t="n">
        <x:v>147</x:v>
      </x:c>
      <x:c r="B149" s="54" t="str">
        <x:v>sky.sun.trine.mars</x:v>
      </x:c>
      <x:c r="C149" s="54" t="str">
        <x:v>the Sun trine Mars: a soft contact. Vitality, authority, and recognition supports action, conflict, and heat - cooperation and favorable conditions in these areas.</x:v>
      </x:c>
      <x:c r="D149" s="54" t="str">
        <x:v>Identity meets drive and aggression. Energy, assertion, and the will to act become central to the sense of self. The trine makes this a natural strength: Action with little temper behind it. Things get done and the drive feels available rather than volatile. The growth edge is not to coast on the ease.</x:v>
      </x:c>
      <x:c r="E149" s="54" t="str">
        <x:v>Waxing / waning trine</x:v>
      </x:c>
      <x:c r="F149" s="54" t="str">
        <x:v>Selfhood and drive flow together with ease; respond to the opportunity.</x:v>
      </x:c>
      <x:c r="G149" s="54" t="str">
        <x:v>Distribute and give transmissible form to what selfhood and drive have realized.</x:v>
      </x:c>
      <x:c r="H149" s="54" t="str">
        <x:v>An opening in this area. Initiative and drive; the cost is friction with authority and a tendency to force things.</x:v>
      </x:c>
      <x:c r="I149" s="54" t="str">
        <x:v>The ease lets egotism and needing to be the center and anger and recklessness go unchecked, or the opening pass unused.</x:v>
      </x:c>
      <x:c r="J149" s="54" t="str">
        <x:v>Ease and support build and arrive on their own.</x:v>
      </x:c>
      <x:c r="K149" s="54" t="str">
        <x:v>The ease withdraws; the flow passes, used or not.</x:v>
      </x:c>
      <x:c r="L149" s="54" t="str">
        <x:v>Identity meets drive and aggression. Energy, assertion, and the will to act become central to the sense of self. The trine makes this a natural strength: Action with little temper behind it. Things get done and the drive feels available rather than volatile. The growth edge is not to coast on the ease.</x:v>
      </x:c>
      <x:c r="M149" s="54" t="str">
        <x:v>{
  "traditional": "classical and traditional sources",
  "modern": "modern aspect cookbook (psychological / popular register)",
  "cyclic": "humanistic / process-oriented source (cyclic model)"
}</x:v>
      </x:c>
      <x:c r="N149" s="54" t="str">
        <x:v>80e61196fd0db7e727affdb95ecb828720ac4eb521de8b5ea523d5d0de23d215</x:v>
      </x:c>
      <x:c r="O149" s="54" t="str">
        <x:v>packages/astro-knowledge/data/transits/sun-trine-mars.json</x:v>
      </x:c>
    </x:row>
    <x:row r="150" ht="90" customHeight="1">
      <x:c r="A150" s="54" t="n">
        <x:v>148</x:v>
      </x:c>
      <x:c r="B150" s="54" t="str">
        <x:v>sky.sun.sextile.mars</x:v>
      </x:c>
      <x:c r="C150" s="54" t="str">
        <x:v>the Sun sextile Mars: a soft contact. Vitality, authority, and recognition supports action, conflict, and heat - cooperation and favorable conditions in these areas.</x:v>
      </x:c>
      <x:c r="D150" s="54" t="str">
        <x:v>Identity meets drive and aggression. Energy, assertion, and the will to act become central to the sense of self. The sextile makes this a natural strength: Action with little temper behind it. Things get done and the drive feels available rather than volatile. The growth edge is not to coast on the ease.</x:v>
      </x:c>
      <x:c r="E150" s="54" t="str">
        <x:v>Waxing / waning sextile</x:v>
      </x:c>
      <x:c r="F150" s="54" t="str">
        <x:v>A chance to organize selfhood and drive into a new form; it must be actively taken up.</x:v>
      </x:c>
      <x:c r="G150" s="54" t="str">
        <x:v>Reorganize and share what selfhood and drive have taught; communicate the insight.</x:v>
      </x:c>
      <x:c r="H150" s="54" t="str">
        <x:v>An opening in this area. Initiative and drive; the cost is friction with authority and a tendency to force things.</x:v>
      </x:c>
      <x:c r="I150" s="54" t="str">
        <x:v>The ease lets egotism and needing to be the center and anger and recklessness go unchecked, or the opening pass unused.</x:v>
      </x:c>
      <x:c r="J150" s="54" t="str">
        <x:v>A supportive opening becomes available; offered, not automatic.</x:v>
      </x:c>
      <x:c r="K150" s="54" t="str">
        <x:v>The opening closes; unused, it passes.</x:v>
      </x:c>
      <x:c r="L150" s="54" t="str">
        <x:v>Identity meets drive and aggression. Energy, assertion, and the will to act become central to the sense of self. The sextile makes this a natural strength: Action with little temper behind it. Things get done and the drive feels available rather than volatile. The growth edge is not to coast on the ease.</x:v>
      </x:c>
      <x:c r="M150" s="54" t="str">
        <x:v>{
  "traditional": "classical and traditional sources",
  "modern": "modern aspect cookbook (psychological / popular register)",
  "cyclic": "humanistic / process-oriented source (cyclic model)"
}</x:v>
      </x:c>
      <x:c r="N150" s="54" t="str">
        <x:v>996216a3769b794c8cb86d3141451b051cf1ba43368dc7ff94f6b7eb6734e91f</x:v>
      </x:c>
      <x:c r="O150" s="54" t="str">
        <x:v>packages/astro-knowledge/data/transits/sun-sextile-mars.json</x:v>
      </x:c>
    </x:row>
    <x:row r="151" ht="90" customHeight="1">
      <x:c r="A151" s="54" t="n">
        <x:v>149</x:v>
      </x:c>
      <x:c r="B151" s="54" t="str">
        <x:v>sky.sun.conjunction.mercury</x:v>
      </x:c>
      <x:c r="C151" s="54" t="str">
        <x:v>Communication, commerce, and contracts fused with vitality, authority, and recognition. The two act as one and the combined significations are hard to separate.</x:v>
      </x:c>
      <x:c r="D151" s="54" t="str">
        <x:v>Identity fused with mind and communication. Self-expression runs through ideas and speech. Only the conjunction is possible, since Mercury never travels far from the Sun. Fused, these drives are difficult to separate and ask to be consciously integrated rather than acted out blindly.</x:v>
      </x:c>
      <x:c r="E151" s="54" t="str">
        <x:v>New (seed)</x:v>
      </x:c>
      <x:c r="F151" s="54" t="str"/>
      <x:c r="G151" s="54" t="str"/>
      <x:c r="H151" s="54" t="str">
        <x:v>Concentrated focus in this area. Strong for pitching, writing, and putting your own thinking forward in your own voice.</x:v>
      </x:c>
      <x:c r="I151" s="54" t="str">
        <x:v>Scattered overthinking fused with egotism and needing to be the center, with no distance to tell them apart.</x:v>
      </x:c>
      <x:c r="J151" s="54" t="str">
        <x:v>The two fuse and intensify as they close in.</x:v>
      </x:c>
      <x:c r="K151" s="54" t="str">
        <x:v>The fused theme peaks and discharges.</x:v>
      </x:c>
      <x:c r="L151" s="54" t="str">
        <x:v>Identity fused with mind and communication. Self-expression runs through ideas and speech. Only the conjunction is possible, since Mercury never travels far from the Sun. Fused, these drives are difficult to separate and ask to be consciously integrated rather than acted out blindly.</x:v>
      </x:c>
      <x:c r="M151" s="54" t="str">
        <x:v>{
  "traditional": "classical and traditional sources",
  "modern": "modern aspect cookbook (psychological / popular register)",
  "cyclic": "humanistic / process-oriented source (cyclic model)"
}</x:v>
      </x:c>
      <x:c r="N151" s="54" t="str">
        <x:v>1a45f0d172048b43903cc55850cdb0661f0f04a45bc533f2e19e92a078899864</x:v>
      </x:c>
      <x:c r="O151" s="54" t="str">
        <x:v>packages/astro-knowledge/data/transits/sun-conjunction-mercury.json</x:v>
      </x:c>
    </x:row>
    <x:row r="152" ht="90" customHeight="1">
      <x:c r="A152" s="54" t="n">
        <x:v>150</x:v>
      </x:c>
      <x:c r="B152" s="54" t="str">
        <x:v>sky.sun.conjunction.moon</x:v>
      </x:c>
      <x:c r="C152" s="54" t="str">
        <x:v>Sun conjunct the Moon: the body, home, and daily needs fused with vitality, authority, and recognition. The two act as one and the combined significations are hard to separate.</x:v>
      </x:c>
      <x:c r="D152" s="54" t="str">
        <x:v>Identity and emotion, the outer self and the inner life. How who you present yourself to be lines up (or doesn't) with what you actually feel and need. Fused, these drives are difficult to separate and ask to be consciously integrated rather than acted out blindly.</x:v>
      </x:c>
      <x:c r="E152" s="54" t="str">
        <x:v>New (seed)</x:v>
      </x:c>
      <x:c r="F152" s="54" t="str"/>
      <x:c r="G152" s="54" t="str"/>
      <x:c r="H152" s="54" t="str">
        <x:v>Concentrated focus in this area. Self-direction reads as either steady and integrated, or as internal conflict that undercuts decisiveness.</x:v>
      </x:c>
      <x:c r="I152" s="54" t="str">
        <x:v>Moodiness and over-need fused with egotism and needing to be the center, with no distance to tell them apart.</x:v>
      </x:c>
      <x:c r="J152" s="54" t="str">
        <x:v>The two fuse and intensify as they close in.</x:v>
      </x:c>
      <x:c r="K152" s="54" t="str">
        <x:v>The fused theme peaks and discharges.</x:v>
      </x:c>
      <x:c r="L152" s="54" t="str">
        <x:v>Identity and emotion, the outer self and the inner life. How who you present yourself to be lines up (or doesn't) with what you actually feel and need. Fused, these drives are difficult to separate and ask to be consciously integrated rather than acted out blindly.</x:v>
      </x:c>
      <x:c r="M152" s="54" t="str">
        <x:v>{
  "traditional": "classical and traditional sources",
  "modern": "modern aspect cookbook (psychological / popular register)",
  "cyclic": "humanistic / process-oriented source (cyclic model)"
}</x:v>
      </x:c>
      <x:c r="N152" s="54" t="str">
        <x:v>5b90d50036ebc9cd101b9732db9cb6c6446a474ad4db245e765bd244576f3854</x:v>
      </x:c>
      <x:c r="O152" s="54" t="str">
        <x:v>packages/astro-knowledge/data/transits/sun-conjunction-moon.json</x:v>
      </x:c>
    </x:row>
    <x:row r="153" ht="90" customHeight="1">
      <x:c r="A153" s="54" t="n">
        <x:v>151</x:v>
      </x:c>
      <x:c r="B153" s="54" t="str">
        <x:v>sky.sun.opposition.moon</x:v>
      </x:c>
      <x:c r="C153" s="54" t="str">
        <x:v>Sun opposition the Moon: a hard contact. The body, home, and daily needs works against vitality, authority, and recognition - obstruction, friction, and strained outcomes in these areas.</x:v>
      </x:c>
      <x:c r="D153" s="54" t="str">
        <x:v>Identity and emotion, the outer self and the inner life. How who you present yourself to be lines up (or doesn't) with what you actually feel and need. Psychologically the opposition is inner tension to integrate: Ego needs and emotional needs pull from conflicting sources, so the public self and the private self work at cross purposes and have to be reconciled. The growth is owning both sides instead of splitting them.</x:v>
      </x:c>
      <x:c r="E153" s="54" t="str">
        <x:v>Full (culmination)</x:v>
      </x:c>
      <x:c r="F153" s="54" t="str"/>
      <x:c r="G153" s="54" t="str"/>
      <x:c r="H153" s="54" t="str">
        <x:v>Friction in this area. Self-direction reads as either steady and integrated, or as internal conflict that undercuts decisiveness.</x:v>
      </x:c>
      <x:c r="I153" s="54" t="str">
        <x:v>Moodiness and over-need collides with egotism and needing to be the center; forcing or splitting it instead of working it through.</x:v>
      </x:c>
      <x:c r="J153" s="54" t="str">
        <x:v>A confrontation builds; the other side comes fully into view.</x:v>
      </x:c>
      <x:c r="K153" s="54" t="str">
        <x:v>The standoff resolves into balance or a split.</x:v>
      </x:c>
      <x:c r="L153" s="54" t="str">
        <x:v>Identity and emotion, the outer self and the inner life. How who you present yourself to be lines up (or doesn't) with what you actually feel and need. Psychologically the opposition is inner tension to integrate: Ego needs and emotional needs pull from conflicting sources, so the public self and the private self work at cross purposes and have to be reconciled. The growth is owning both sides instead of splitting them.</x:v>
      </x:c>
      <x:c r="M153" s="54" t="str">
        <x:v>{
  "traditional": "classical and traditional sources",
  "modern": "modern aspect cookbook (psychological / popular register)",
  "cyclic": "humanistic / process-oriented source (cyclic model)"
}</x:v>
      </x:c>
      <x:c r="N153" s="54" t="str">
        <x:v>ce7cec731c2d859450b7e1f1ad285b75f8420cfbc88cd110656a3eec85e73e7f</x:v>
      </x:c>
      <x:c r="O153" s="54" t="str">
        <x:v>packages/astro-knowledge/data/transits/sun-opposition-moon.json</x:v>
      </x:c>
    </x:row>
    <x:row r="154" ht="90" customHeight="1">
      <x:c r="A154" s="54" t="n">
        <x:v>152</x:v>
      </x:c>
      <x:c r="B154" s="54" t="str">
        <x:v>sky.sun.square.moon</x:v>
      </x:c>
      <x:c r="C154" s="54" t="str">
        <x:v>Sun square the Moon: a hard contact. The body, home, and daily needs works against vitality, authority, and recognition - obstruction, friction, and strained outcomes in these areas.</x:v>
      </x:c>
      <x:c r="D154" s="54" t="str">
        <x:v>Identity and emotion, the outer self and the inner life. How who you present yourself to be lines up (or doesn't) with what you actually feel and need. Psychologically the square is inner tension to integrate: Ego needs and emotional needs pull from conflicting sources, so the public self and the private self work at cross purposes and have to be reconciled. The growth is owning both sides instead of splitting them.</x:v>
      </x:c>
      <x:c r="E154" s="54" t="str">
        <x:v>First / Last Quarter</x:v>
      </x:c>
      <x:c r="F154" s="54" t="str">
        <x:v>Crisis of action: take conscious hold and build a durable form for feeling against selfhood, or be thrown off course.</x:v>
      </x:c>
      <x:c r="G154" s="54" t="str">
        <x:v>Crisis of meaning: break down the feeling/selfhood form that has outlived its purpose and reorient toward the next cycle.</x:v>
      </x:c>
      <x:c r="H154" s="54" t="str">
        <x:v>Friction in this area. Self-direction reads as either steady and integrated, or as internal conflict that undercuts decisiveness.</x:v>
      </x:c>
      <x:c r="I154" s="54" t="str">
        <x:v>Moodiness and over-need collides with egotism and needing to be the center; forcing or splitting it instead of working it through.</x:v>
      </x:c>
      <x:c r="J154" s="54" t="str">
        <x:v>Friction builds toward a forced adjustment.</x:v>
      </x:c>
      <x:c r="K154" s="54" t="str">
        <x:v>The crisis passes; what was restructured settles.</x:v>
      </x:c>
      <x:c r="L154" s="54" t="str">
        <x:v>Identity and emotion, the outer self and the inner life. How who you present yourself to be lines up (or doesn't) with what you actually feel and need. Psychologically the square is inner tension to integrate: Ego needs and emotional needs pull from conflicting sources, so the public self and the private self work at cross purposes and have to be reconciled. The growth is owning both sides instead of splitting them.</x:v>
      </x:c>
      <x:c r="M154" s="54" t="str">
        <x:v>{
  "traditional": "classical and traditional sources",
  "modern": "modern aspect cookbook (psychological / popular register)",
  "cyclic": "humanistic / process-oriented source (cyclic model)"
}</x:v>
      </x:c>
      <x:c r="N154" s="54" t="str">
        <x:v>27cb913a9d15a7568f796bc84dc4de1311dd51847781544f80c3c646451ea975</x:v>
      </x:c>
      <x:c r="O154" s="54" t="str">
        <x:v>packages/astro-knowledge/data/transits/sun-square-moon.json</x:v>
      </x:c>
    </x:row>
    <x:row r="155" ht="90" customHeight="1">
      <x:c r="A155" s="54" t="n">
        <x:v>153</x:v>
      </x:c>
      <x:c r="B155" s="54" t="str">
        <x:v>sky.sun.trine.moon</x:v>
      </x:c>
      <x:c r="C155" s="54" t="str">
        <x:v>Sun trine the Moon: a soft contact. The body, home, and daily needs supports vitality, authority, and recognition - cooperation and favorable conditions in these areas.</x:v>
      </x:c>
      <x:c r="D155" s="54" t="str">
        <x:v>Identity and emotion, the outer self and the inner life. How who you present yourself to be lines up (or doesn't) with what you actually feel and need. The trine makes this a natural strength: Outer and inner self move easily together. Steady, consistent, at ease with oneself, though it can lack a charge of its own. The growth edge is not to coast on the ease.</x:v>
      </x:c>
      <x:c r="E155" s="54" t="str">
        <x:v>Waxing / waning trine</x:v>
      </x:c>
      <x:c r="F155" s="54" t="str">
        <x:v>Feeling and selfhood flow together with ease; respond to the opportunity.</x:v>
      </x:c>
      <x:c r="G155" s="54" t="str">
        <x:v>Distribute and give transmissible form to what feeling and selfhood have realized.</x:v>
      </x:c>
      <x:c r="H155" s="54" t="str">
        <x:v>An opening in this area. Self-direction reads as either steady and integrated, or as internal conflict that undercuts decisiveness.</x:v>
      </x:c>
      <x:c r="I155" s="54" t="str">
        <x:v>The ease lets moodiness and over-need and egotism and needing to be the center go unchecked, or the opening pass unused.</x:v>
      </x:c>
      <x:c r="J155" s="54" t="str">
        <x:v>Ease and support build and arrive on their own.</x:v>
      </x:c>
      <x:c r="K155" s="54" t="str">
        <x:v>The ease withdraws; the flow passes, used or not.</x:v>
      </x:c>
      <x:c r="L155" s="54" t="str">
        <x:v>Identity and emotion, the outer self and the inner life. How who you present yourself to be lines up (or doesn't) with what you actually feel and need. The trine makes this a natural strength: Outer and inner self move easily together. Steady, consistent, at ease with oneself, though it can lack a charge of its own. The growth edge is not to coast on the ease.</x:v>
      </x:c>
      <x:c r="M155" s="54" t="str">
        <x:v>{
  "traditional": "classical and traditional sources",
  "modern": "modern aspect cookbook (psychological / popular register)",
  "cyclic": "humanistic / process-oriented source (cyclic model)"
}</x:v>
      </x:c>
      <x:c r="N155" s="54" t="str">
        <x:v>54d1c3e1c7cbb70f318779cb6752623d249cc79ae5ef854ea72f95db72e11062</x:v>
      </x:c>
      <x:c r="O155" s="54" t="str">
        <x:v>packages/astro-knowledge/data/transits/sun-trine-moon.json</x:v>
      </x:c>
    </x:row>
    <x:row r="156" ht="90" customHeight="1">
      <x:c r="A156" s="54" t="n">
        <x:v>154</x:v>
      </x:c>
      <x:c r="B156" s="54" t="str">
        <x:v>sky.sun.sextile.moon</x:v>
      </x:c>
      <x:c r="C156" s="54" t="str">
        <x:v>Sun sextile the Moon: a soft contact. The body, home, and daily needs supports vitality, authority, and recognition - cooperation and favorable conditions in these areas.</x:v>
      </x:c>
      <x:c r="D156" s="54" t="str">
        <x:v>Identity and emotion, the outer self and the inner life. How who you present yourself to be lines up (or doesn't) with what you actually feel and need. The sextile makes this a natural strength: Outer and inner self move easily together. Steady, consistent, at ease with oneself, though it can lack a charge of its own. The growth edge is not to coast on the ease.</x:v>
      </x:c>
      <x:c r="E156" s="54" t="str">
        <x:v>Waxing / waning sextile</x:v>
      </x:c>
      <x:c r="F156" s="54" t="str">
        <x:v>A chance to organize feeling and selfhood into a new form; it must be actively taken up.</x:v>
      </x:c>
      <x:c r="G156" s="54" t="str">
        <x:v>Reorganize and share what feeling and selfhood have taught; communicate the insight.</x:v>
      </x:c>
      <x:c r="H156" s="54" t="str">
        <x:v>An opening in this area. Self-direction reads as either steady and integrated, or as internal conflict that undercuts decisiveness.</x:v>
      </x:c>
      <x:c r="I156" s="54" t="str">
        <x:v>The ease lets moodiness and over-need and egotism and needing to be the center go unchecked, or the opening pass unused.</x:v>
      </x:c>
      <x:c r="J156" s="54" t="str">
        <x:v>A supportive opening becomes available; offered, not automatic.</x:v>
      </x:c>
      <x:c r="K156" s="54" t="str">
        <x:v>The opening closes; unused, it passes.</x:v>
      </x:c>
      <x:c r="L156" s="54" t="str">
        <x:v>Identity and emotion, the outer self and the inner life. How who you present yourself to be lines up (or doesn't) with what you actually feel and need. The sextile makes this a natural strength: Outer and inner self move easily together. Steady, consistent, at ease with oneself, though it can lack a charge of its own. The growth edge is not to coast on the ease.</x:v>
      </x:c>
      <x:c r="M156" s="54" t="str">
        <x:v>{
  "traditional": "classical and traditional sources",
  "modern": "modern aspect cookbook (psychological / popular register)",
  "cyclic": "humanistic / process-oriented source (cyclic model)"
}</x:v>
      </x:c>
      <x:c r="N156" s="54" t="str">
        <x:v>8c62357819a567662badee5ac4096d50a24b9b81e5df327cf250911c00d82d2a</x:v>
      </x:c>
      <x:c r="O156" s="54" t="str">
        <x:v>packages/astro-knowledge/data/transits/sun-sextile-moon.json</x:v>
      </x:c>
    </x:row>
    <x:row r="157" ht="90" customHeight="1">
      <x:c r="A157" s="54" t="n">
        <x:v>155</x:v>
      </x:c>
      <x:c r="B157" s="54" t="str">
        <x:v>sky.sun.conjunction.neptune</x:v>
      </x:c>
      <x:c r="C157" s="54" t="str">
        <x:v>No classical doctrine: Neptune is a modern planet unknown to traditional astrology. Read from the modern and cyclic layers; treat this contact as a slow, generational background tone.</x:v>
      </x:c>
      <x:c r="D157" s="54" t="str">
        <x:v>Identity meets imagination and idealism. Heightened sensitivity, imagination, and a pull toward the ideal. Fused, these drives are difficult to separate and ask to be consciously integrated rather than acted out blindly.</x:v>
      </x:c>
      <x:c r="E157" s="54" t="str">
        <x:v>New (seed)</x:v>
      </x:c>
      <x:c r="F157" s="54" t="str"/>
      <x:c r="G157" s="54" t="str"/>
      <x:c r="H157" s="54" t="str">
        <x:v>Concentrated focus in this area. Creative or service-oriented directions; guard against self-deception and being played.</x:v>
      </x:c>
      <x:c r="I157" s="54" t="str">
        <x:v>Egotism and needing to be the center fused with illusion and escapism, with no distance to tell them apart.</x:v>
      </x:c>
      <x:c r="J157" s="54" t="str">
        <x:v>The two fuse and intensify as they close in.</x:v>
      </x:c>
      <x:c r="K157" s="54" t="str">
        <x:v>The fused theme peaks and discharges.</x:v>
      </x:c>
      <x:c r="L157" s="54" t="str">
        <x:v>Identity meets imagination and idealism. Heightened sensitivity, imagination, and a pull toward the ideal. Fused, these drives are difficult to separate and ask to be consciously integrated rather than acted out blindly.</x:v>
      </x:c>
      <x:c r="M157" s="54" t="str">
        <x:v>{
  "traditional": "classical and traditional sources",
  "modern": "modern aspect cookbook (psychological / popular register)",
  "cyclic": "humanistic / process-oriented source (cyclic model)"
}</x:v>
      </x:c>
      <x:c r="N157" s="54" t="str">
        <x:v>c2d9f89ed2b3c6a6a302dbe306daa1335278065dd55fa6b8bdb1276dde1f04e6</x:v>
      </x:c>
      <x:c r="O157" s="54" t="str">
        <x:v>packages/astro-knowledge/data/transits/sun-conjunction-neptune.json</x:v>
      </x:c>
    </x:row>
    <x:row r="158" ht="90" customHeight="1">
      <x:c r="A158" s="54" t="n">
        <x:v>156</x:v>
      </x:c>
      <x:c r="B158" s="54" t="str">
        <x:v>sky.sun.opposition.neptune</x:v>
      </x:c>
      <x:c r="C158" s="54" t="str">
        <x:v>No classical doctrine: Neptune is a modern planet unknown to traditional astrology. Read from the modern and cyclic layers; treat this contact as a slow, generational background tone.</x:v>
      </x:c>
      <x:c r="D158" s="54" t="str">
        <x:v>Identity meets imagination and idealism. Heightened sensitivity, imagination, and a pull toward the ideal. Psychologically the opposition is inner tension to integrate: Susceptibility to illusion and escapism, and to the rescuer/rescued dynamic. The self can get foggy. The growth is owning both sides instead of splitting them.</x:v>
      </x:c>
      <x:c r="E158" s="54" t="str">
        <x:v>Full (culmination)</x:v>
      </x:c>
      <x:c r="F158" s="54" t="str"/>
      <x:c r="G158" s="54" t="str"/>
      <x:c r="H158" s="54" t="str">
        <x:v>Friction in this area. Creative or service-oriented directions; guard against self-deception and being played.</x:v>
      </x:c>
      <x:c r="I158" s="54" t="str">
        <x:v>Egotism and needing to be the center collides with illusion and escapism; forcing or splitting it instead of working it through.</x:v>
      </x:c>
      <x:c r="J158" s="54" t="str">
        <x:v>A confrontation builds; the other side comes fully into view.</x:v>
      </x:c>
      <x:c r="K158" s="54" t="str">
        <x:v>The standoff resolves into balance or a split.</x:v>
      </x:c>
      <x:c r="L158" s="54" t="str">
        <x:v>Identity meets imagination and idealism. Heightened sensitivity, imagination, and a pull toward the ideal. Psychologically the opposition is inner tension to integrate: Susceptibility to illusion and escapism, and to the rescuer/rescued dynamic. The self can get foggy. The growth is owning both sides instead of splitting them.</x:v>
      </x:c>
      <x:c r="M158" s="54" t="str">
        <x:v>{
  "traditional": "classical and traditional sources",
  "modern": "modern aspect cookbook (psychological / popular register)",
  "cyclic": "humanistic / process-oriented source (cyclic model)"
}</x:v>
      </x:c>
      <x:c r="N158" s="54" t="str">
        <x:v>c479273c158d6d7f20f3d5542db2f3446efc3daf81fcd044bd80ebbc34c8522d</x:v>
      </x:c>
      <x:c r="O158" s="54" t="str">
        <x:v>packages/astro-knowledge/data/transits/sun-opposition-neptune.json</x:v>
      </x:c>
    </x:row>
    <x:row r="159" ht="90" customHeight="1">
      <x:c r="A159" s="54" t="n">
        <x:v>157</x:v>
      </x:c>
      <x:c r="B159" s="54" t="str">
        <x:v>sky.sun.square.neptune</x:v>
      </x:c>
      <x:c r="C159" s="54" t="str">
        <x:v>No classical doctrine: Neptune is a modern planet unknown to traditional astrology. Read from the modern and cyclic layers; treat this contact as a slow, generational background tone.</x:v>
      </x:c>
      <x:c r="D159" s="54" t="str">
        <x:v>Identity meets imagination and idealism. Heightened sensitivity, imagination, and a pull toward the ideal. Psychologically the square is inner tension to integrate: Susceptibility to illusion and escapism, and to the rescuer/rescued dynamic. The self can get foggy. The growth is owning both sides instead of splitting them.</x:v>
      </x:c>
      <x:c r="E159" s="54" t="str">
        <x:v>First / Last Quarter</x:v>
      </x:c>
      <x:c r="F159" s="54" t="str">
        <x:v>Crisis of action: take conscious hold and build a durable form for selfhood against imagination, or be thrown off course.</x:v>
      </x:c>
      <x:c r="G159" s="54" t="str">
        <x:v>Crisis of meaning: break down the selfhood/imagination form that has outlived its purpose and reorient toward the next cycle.</x:v>
      </x:c>
      <x:c r="H159" s="54" t="str">
        <x:v>Friction in this area. Creative or service-oriented directions; guard against self-deception and being played.</x:v>
      </x:c>
      <x:c r="I159" s="54" t="str">
        <x:v>Egotism and needing to be the center collides with illusion and escapism; forcing or splitting it instead of working it through.</x:v>
      </x:c>
      <x:c r="J159" s="54" t="str">
        <x:v>Friction builds toward a forced adjustment.</x:v>
      </x:c>
      <x:c r="K159" s="54" t="str">
        <x:v>The crisis passes; what was restructured settles.</x:v>
      </x:c>
      <x:c r="L159" s="54" t="str">
        <x:v>Identity meets imagination and idealism. Heightened sensitivity, imagination, and a pull toward the ideal. Psychologically the square is inner tension to integrate: Susceptibility to illusion and escapism, and to the rescuer/rescued dynamic. The self can get foggy. The growth is owning both sides instead of splitting them.</x:v>
      </x:c>
      <x:c r="M159" s="54" t="str">
        <x:v>{
  "traditional": "classical and traditional sources",
  "modern": "modern aspect cookbook (psychological / popular register)",
  "cyclic": "humanistic / process-oriented source (cyclic model)"
}</x:v>
      </x:c>
      <x:c r="N159" s="54" t="str">
        <x:v>56014fa6937b994d2866da8ab184c79555602a81c87ef610f7fb138b6cb74861</x:v>
      </x:c>
      <x:c r="O159" s="54" t="str">
        <x:v>packages/astro-knowledge/data/transits/sun-square-neptune.json</x:v>
      </x:c>
    </x:row>
    <x:row r="160" ht="90" customHeight="1">
      <x:c r="A160" s="54" t="n">
        <x:v>158</x:v>
      </x:c>
      <x:c r="B160" s="54" t="str">
        <x:v>sky.sun.trine.neptune</x:v>
      </x:c>
      <x:c r="C160" s="54" t="str">
        <x:v>No classical doctrine: Neptune is a modern planet unknown to traditional astrology. Read from the modern and cyclic layers; treat this contact as a slow, generational background tone.</x:v>
      </x:c>
      <x:c r="D160" s="54" t="str">
        <x:v>Identity meets imagination and idealism. Heightened sensitivity, imagination, and a pull toward the ideal. The trine makes this a natural strength: Imaginative and compassionate; creative and charitable directions come naturally. The growth edge is not to coast on the ease.</x:v>
      </x:c>
      <x:c r="E160" s="54" t="str">
        <x:v>Waxing / waning trine</x:v>
      </x:c>
      <x:c r="F160" s="54" t="str">
        <x:v>Selfhood and imagination flow together with ease; respond to the opportunity.</x:v>
      </x:c>
      <x:c r="G160" s="54" t="str">
        <x:v>Distribute and give transmissible form to what selfhood and imagination have realized.</x:v>
      </x:c>
      <x:c r="H160" s="54" t="str">
        <x:v>An opening in this area. Creative or service-oriented directions; guard against self-deception and being played.</x:v>
      </x:c>
      <x:c r="I160" s="54" t="str">
        <x:v>The ease lets egotism and needing to be the center and illusion and escapism go unchecked, or the opening pass unused.</x:v>
      </x:c>
      <x:c r="J160" s="54" t="str">
        <x:v>Ease and support build and arrive on their own.</x:v>
      </x:c>
      <x:c r="K160" s="54" t="str">
        <x:v>The ease withdraws; the flow passes, used or not.</x:v>
      </x:c>
      <x:c r="L160" s="54" t="str">
        <x:v>Identity meets imagination and idealism. Heightened sensitivity, imagination, and a pull toward the ideal. The trine makes this a natural strength: Imaginative and compassionate; creative and charitable directions come naturally. The growth edge is not to coast on the ease.</x:v>
      </x:c>
      <x:c r="M160" s="54" t="str">
        <x:v>{
  "traditional": "classical and traditional sources",
  "modern": "modern aspect cookbook (psychological / popular register)",
  "cyclic": "humanistic / process-oriented source (cyclic model)"
}</x:v>
      </x:c>
      <x:c r="N160" s="54" t="str">
        <x:v>a58967f7263fa7b0a131f4158463cd852af54766bf492b710fcabf4836af983e</x:v>
      </x:c>
      <x:c r="O160" s="54" t="str">
        <x:v>packages/astro-knowledge/data/transits/sun-trine-neptune.json</x:v>
      </x:c>
    </x:row>
    <x:row r="161" ht="90" customHeight="1">
      <x:c r="A161" s="54" t="n">
        <x:v>159</x:v>
      </x:c>
      <x:c r="B161" s="54" t="str">
        <x:v>sky.sun.sextile.neptune</x:v>
      </x:c>
      <x:c r="C161" s="54" t="str">
        <x:v>No classical doctrine: Neptune is a modern planet unknown to traditional astrology. Read from the modern and cyclic layers; treat this contact as a slow, generational background tone.</x:v>
      </x:c>
      <x:c r="D161" s="54" t="str">
        <x:v>Identity meets imagination and idealism. Heightened sensitivity, imagination, and a pull toward the ideal. The sextile makes this a natural strength: Imaginative and compassionate; creative and charitable directions come naturally. The growth edge is not to coast on the ease.</x:v>
      </x:c>
      <x:c r="E161" s="54" t="str">
        <x:v>Waxing / waning sextile</x:v>
      </x:c>
      <x:c r="F161" s="54" t="str">
        <x:v>A chance to organize selfhood and imagination into a new form; it must be actively taken up.</x:v>
      </x:c>
      <x:c r="G161" s="54" t="str">
        <x:v>Reorganize and share what selfhood and imagination have taught; communicate the insight.</x:v>
      </x:c>
      <x:c r="H161" s="54" t="str">
        <x:v>An opening in this area. Creative or service-oriented directions; guard against self-deception and being played.</x:v>
      </x:c>
      <x:c r="I161" s="54" t="str">
        <x:v>The ease lets egotism and needing to be the center and illusion and escapism go unchecked, or the opening pass unused.</x:v>
      </x:c>
      <x:c r="J161" s="54" t="str">
        <x:v>A supportive opening becomes available; offered, not automatic.</x:v>
      </x:c>
      <x:c r="K161" s="54" t="str">
        <x:v>The opening closes; unused, it passes.</x:v>
      </x:c>
      <x:c r="L161" s="54" t="str">
        <x:v>Identity meets imagination and idealism. Heightened sensitivity, imagination, and a pull toward the ideal. The sextile makes this a natural strength: Imaginative and compassionate; creative and charitable directions come naturally. The growth edge is not to coast on the ease.</x:v>
      </x:c>
      <x:c r="M161" s="54" t="str">
        <x:v>{
  "traditional": "classical and traditional sources",
  "modern": "modern aspect cookbook (psychological / popular register)",
  "cyclic": "humanistic / process-oriented source (cyclic model)"
}</x:v>
      </x:c>
      <x:c r="N161" s="54" t="str">
        <x:v>fb00658fee99ac7005a26790f5f2aa075a0a69b03f2d355049f6ae8b148293f9</x:v>
      </x:c>
      <x:c r="O161" s="54" t="str">
        <x:v>packages/astro-knowledge/data/transits/sun-sextile-neptune.json</x:v>
      </x:c>
    </x:row>
    <x:row r="162" ht="90" customHeight="1">
      <x:c r="A162" s="54" t="n">
        <x:v>160</x:v>
      </x:c>
      <x:c r="B162" s="54" t="str">
        <x:v>sky.sun.conjunction.pluto</x:v>
      </x:c>
      <x:c r="C162" s="54" t="str">
        <x:v>No classical doctrine: Pluto is a modern planet unknown to traditional astrology. Read from the modern and cyclic layers; treat this contact as a slow, generational background tone.</x:v>
      </x:c>
      <x:c r="D162" s="54" t="str">
        <x:v>Identity meets power and intensity. A magnetic, high-voltage presence that others react to immediately. Fused, these drives are difficult to separate and ask to be consciously integrated rather than acted out blindly.</x:v>
      </x:c>
      <x:c r="E162" s="54" t="str">
        <x:v>New (seed)</x:v>
      </x:c>
      <x:c r="F162" s="54" t="str"/>
      <x:c r="G162" s="54" t="str"/>
      <x:c r="H162" s="54" t="str">
        <x:v>Concentrated focus in this area. Real influence; the intensity tends to polarize people.</x:v>
      </x:c>
      <x:c r="I162" s="54" t="str">
        <x:v>Egotism and needing to be the center fused with control and obsession, with no distance to tell them apart.</x:v>
      </x:c>
      <x:c r="J162" s="54" t="str">
        <x:v>The two fuse and intensify as they close in.</x:v>
      </x:c>
      <x:c r="K162" s="54" t="str">
        <x:v>The fused theme peaks and discharges.</x:v>
      </x:c>
      <x:c r="L162" s="54" t="str">
        <x:v>Identity meets power and intensity. A magnetic, high-voltage presence that others react to immediately. Fused, these drives are difficult to separate and ask to be consciously integrated rather than acted out blindly.</x:v>
      </x:c>
      <x:c r="M162" s="54" t="str">
        <x:v>{
  "traditional": "classical and traditional sources",
  "modern": "modern aspect cookbook (psychological / popular register)",
  "cyclic": "humanistic / process-oriented source (cyclic model)"
}</x:v>
      </x:c>
      <x:c r="N162" s="54" t="str">
        <x:v>9fc3d05328233ecf727177903ba32465bfc5aa2c2b9979cf698a59250f56f741</x:v>
      </x:c>
      <x:c r="O162" s="54" t="str">
        <x:v>packages/astro-knowledge/data/transits/sun-conjunction-pluto.json</x:v>
      </x:c>
    </x:row>
    <x:row r="163" ht="90" customHeight="1">
      <x:c r="A163" s="54" t="n">
        <x:v>161</x:v>
      </x:c>
      <x:c r="B163" s="54" t="str">
        <x:v>sky.sun.opposition.pluto</x:v>
      </x:c>
      <x:c r="C163" s="54" t="str">
        <x:v>No classical doctrine: Pluto is a modern planet unknown to traditional astrology. Read from the modern and cyclic layers; treat this contact as a slow, generational background tone.</x:v>
      </x:c>
      <x:c r="D163" s="54" t="str">
        <x:v>Identity meets power and intensity. A magnetic, high-voltage presence that others react to immediately. Psychologically the opposition is inner tension to integrate: Power runs to extremes and relationships tip into control struggles. The growth is owning both sides instead of splitting them.</x:v>
      </x:c>
      <x:c r="E163" s="54" t="str">
        <x:v>Full (culmination)</x:v>
      </x:c>
      <x:c r="F163" s="54" t="str"/>
      <x:c r="G163" s="54" t="str"/>
      <x:c r="H163" s="54" t="str">
        <x:v>Friction in this area. Real influence; the intensity tends to polarize people.</x:v>
      </x:c>
      <x:c r="I163" s="54" t="str">
        <x:v>Egotism and needing to be the center collides with control and obsession; forcing or splitting it instead of working it through.</x:v>
      </x:c>
      <x:c r="J163" s="54" t="str">
        <x:v>A confrontation builds; the other side comes fully into view.</x:v>
      </x:c>
      <x:c r="K163" s="54" t="str">
        <x:v>The standoff resolves into balance or a split.</x:v>
      </x:c>
      <x:c r="L163" s="54" t="str">
        <x:v>Identity meets power and intensity. A magnetic, high-voltage presence that others react to immediately. Psychologically the opposition is inner tension to integrate: Power runs to extremes and relationships tip into control struggles. The growth is owning both sides instead of splitting them.</x:v>
      </x:c>
      <x:c r="M163" s="54" t="str">
        <x:v>{
  "traditional": "classical and traditional sources",
  "modern": "modern aspect cookbook (psychological / popular register)",
  "cyclic": "humanistic / process-oriented source (cyclic model)"
}</x:v>
      </x:c>
      <x:c r="N163" s="54" t="str">
        <x:v>53bbe93c618d990a23eb0b39ba13440f28534a562bb13b8b147f865333257e86</x:v>
      </x:c>
      <x:c r="O163" s="54" t="str">
        <x:v>packages/astro-knowledge/data/transits/sun-opposition-pluto.json</x:v>
      </x:c>
    </x:row>
    <x:row r="164" ht="90" customHeight="1">
      <x:c r="A164" s="54" t="n">
        <x:v>162</x:v>
      </x:c>
      <x:c r="B164" s="54" t="str">
        <x:v>sky.sun.square.pluto</x:v>
      </x:c>
      <x:c r="C164" s="54" t="str">
        <x:v>No classical doctrine: Pluto is a modern planet unknown to traditional astrology. Read from the modern and cyclic layers; treat this contact as a slow, generational background tone.</x:v>
      </x:c>
      <x:c r="D164" s="54" t="str">
        <x:v>Identity meets power and intensity. A magnetic, high-voltage presence that others react to immediately. Psychologically the square is inner tension to integrate: Power runs to extremes and relationships tip into control struggles. The growth is owning both sides instead of splitting them.</x:v>
      </x:c>
      <x:c r="E164" s="54" t="str">
        <x:v>First / Last Quarter</x:v>
      </x:c>
      <x:c r="F164" s="54" t="str">
        <x:v>Crisis of action: take conscious hold and build a durable form for selfhood against power, or be thrown off course.</x:v>
      </x:c>
      <x:c r="G164" s="54" t="str">
        <x:v>Crisis of meaning: break down the selfhood/power form that has outlived its purpose and reorient toward the next cycle.</x:v>
      </x:c>
      <x:c r="H164" s="54" t="str">
        <x:v>Friction in this area. Real influence; the intensity tends to polarize people.</x:v>
      </x:c>
      <x:c r="I164" s="54" t="str">
        <x:v>Egotism and needing to be the center collides with control and obsession; forcing or splitting it instead of working it through.</x:v>
      </x:c>
      <x:c r="J164" s="54" t="str">
        <x:v>Friction builds toward a forced adjustment.</x:v>
      </x:c>
      <x:c r="K164" s="54" t="str">
        <x:v>The crisis passes; what was restructured settles.</x:v>
      </x:c>
      <x:c r="L164" s="54" t="str">
        <x:v>Identity meets power and intensity. A magnetic, high-voltage presence that others react to immediately. Psychologically the square is inner tension to integrate: Power runs to extremes and relationships tip into control struggles. The growth is owning both sides instead of splitting them.</x:v>
      </x:c>
      <x:c r="M164" s="54" t="str">
        <x:v>{
  "traditional": "classical and traditional sources",
  "modern": "modern aspect cookbook (psychological / popular register)",
  "cyclic": "humanistic / process-oriented source (cyclic model)"
}</x:v>
      </x:c>
      <x:c r="N164" s="54" t="str">
        <x:v>7a7a60794637635c38bde8162f80112cb320773ec8dee0c5601f03bcffe732ac</x:v>
      </x:c>
      <x:c r="O164" s="54" t="str">
        <x:v>packages/astro-knowledge/data/transits/sun-square-pluto.json</x:v>
      </x:c>
    </x:row>
    <x:row r="165" ht="90" customHeight="1">
      <x:c r="A165" s="54" t="n">
        <x:v>163</x:v>
      </x:c>
      <x:c r="B165" s="54" t="str">
        <x:v>sky.sun.trine.pluto</x:v>
      </x:c>
      <x:c r="C165" s="54" t="str">
        <x:v>No classical doctrine: Pluto is a modern planet unknown to traditional astrology. Read from the modern and cyclic layers; treat this contact as a slow, generational background tone.</x:v>
      </x:c>
      <x:c r="D165" s="54" t="str">
        <x:v>Identity meets power and intensity. A magnetic, high-voltage presence that others react to immediately. The trine makes this a natural strength: Strength and depth, well-controlled. A natural aptitude for investigation, healing, and transformation. The growth edge is not to coast on the ease.</x:v>
      </x:c>
      <x:c r="E165" s="54" t="str">
        <x:v>Waxing / waning trine</x:v>
      </x:c>
      <x:c r="F165" s="54" t="str">
        <x:v>Selfhood and power flow together with ease; respond to the opportunity.</x:v>
      </x:c>
      <x:c r="G165" s="54" t="str">
        <x:v>Distribute and give transmissible form to what selfhood and power have realized.</x:v>
      </x:c>
      <x:c r="H165" s="54" t="str">
        <x:v>An opening in this area. Real influence; the intensity tends to polarize people.</x:v>
      </x:c>
      <x:c r="I165" s="54" t="str">
        <x:v>The ease lets egotism and needing to be the center and control and obsession go unchecked, or the opening pass unused.</x:v>
      </x:c>
      <x:c r="J165" s="54" t="str">
        <x:v>Ease and support build and arrive on their own.</x:v>
      </x:c>
      <x:c r="K165" s="54" t="str">
        <x:v>The ease withdraws; the flow passes, used or not.</x:v>
      </x:c>
      <x:c r="L165" s="54" t="str">
        <x:v>Identity meets power and intensity. A magnetic, high-voltage presence that others react to immediately. The trine makes this a natural strength: Strength and depth, well-controlled. A natural aptitude for investigation, healing, and transformation. The growth edge is not to coast on the ease.</x:v>
      </x:c>
      <x:c r="M165" s="54" t="str">
        <x:v>{
  "traditional": "classical and traditional sources",
  "modern": "modern aspect cookbook (psychological / popular register)",
  "cyclic": "humanistic / process-oriented source (cyclic model)"
}</x:v>
      </x:c>
      <x:c r="N165" s="54" t="str">
        <x:v>42e9a29b0f2b0e58647789849be8149143e738c054091afdd346442583ee6622</x:v>
      </x:c>
      <x:c r="O165" s="54" t="str">
        <x:v>packages/astro-knowledge/data/transits/sun-trine-pluto.json</x:v>
      </x:c>
    </x:row>
    <x:row r="166" ht="90" customHeight="1">
      <x:c r="A166" s="54" t="n">
        <x:v>164</x:v>
      </x:c>
      <x:c r="B166" s="54" t="str">
        <x:v>sky.sun.sextile.pluto</x:v>
      </x:c>
      <x:c r="C166" s="54" t="str">
        <x:v>No classical doctrine: Pluto is a modern planet unknown to traditional astrology. Read from the modern and cyclic layers; treat this contact as a slow, generational background tone.</x:v>
      </x:c>
      <x:c r="D166" s="54" t="str">
        <x:v>Identity meets power and intensity. A magnetic, high-voltage presence that others react to immediately. The sextile makes this a natural strength: Strength and depth, well-controlled. A natural aptitude for investigation, healing, and transformation. The growth edge is not to coast on the ease.</x:v>
      </x:c>
      <x:c r="E166" s="54" t="str">
        <x:v>Waxing / waning sextile</x:v>
      </x:c>
      <x:c r="F166" s="54" t="str">
        <x:v>A chance to organize selfhood and power into a new form; it must be actively taken up.</x:v>
      </x:c>
      <x:c r="G166" s="54" t="str">
        <x:v>Reorganize and share what selfhood and power have taught; communicate the insight.</x:v>
      </x:c>
      <x:c r="H166" s="54" t="str">
        <x:v>An opening in this area. Real influence; the intensity tends to polarize people.</x:v>
      </x:c>
      <x:c r="I166" s="54" t="str">
        <x:v>The ease lets egotism and needing to be the center and control and obsession go unchecked, or the opening pass unused.</x:v>
      </x:c>
      <x:c r="J166" s="54" t="str">
        <x:v>A supportive opening becomes available; offered, not automatic.</x:v>
      </x:c>
      <x:c r="K166" s="54" t="str">
        <x:v>The opening closes; unused, it passes.</x:v>
      </x:c>
      <x:c r="L166" s="54" t="str">
        <x:v>Identity meets power and intensity. A magnetic, high-voltage presence that others react to immediately. The sextile makes this a natural strength: Strength and depth, well-controlled. A natural aptitude for investigation, healing, and transformation. The growth edge is not to coast on the ease.</x:v>
      </x:c>
      <x:c r="M166" s="54" t="str">
        <x:v>{
  "traditional": "classical and traditional sources",
  "modern": "modern aspect cookbook (psychological / popular register)",
  "cyclic": "humanistic / process-oriented source (cyclic model)"
}</x:v>
      </x:c>
      <x:c r="N166" s="54" t="str">
        <x:v>9097cc3c27f4e710ef041f5423ecc6f9ffe608e7e3fcea68b367148456a4a406</x:v>
      </x:c>
      <x:c r="O166" s="54" t="str">
        <x:v>packages/astro-knowledge/data/transits/sun-sextile-pluto.json</x:v>
      </x:c>
    </x:row>
    <x:row r="167" ht="90" customHeight="1">
      <x:c r="A167" s="54" t="n">
        <x:v>165</x:v>
      </x:c>
      <x:c r="B167" s="54" t="str">
        <x:v>sky.sun.conjunction.saturn</x:v>
      </x:c>
      <x:c r="C167" s="54" t="str">
        <x:v>the Sun conjunct Saturn: vitality, authority, and recognition fused with limitation, delay, and hard structure. The two act as one and the combined significations are hard to separate.</x:v>
      </x:c>
      <x:c r="D167" s="54" t="str">
        <x:v>Identity meets limit and discipline. The self is built slowly, under weight, and tested against duty and consequence. Fused, these drives are difficult to separate and ask to be consciously integrated rather than acted out blindly.</x:v>
      </x:c>
      <x:c r="E167" s="54" t="str">
        <x:v>New (seed)</x:v>
      </x:c>
      <x:c r="F167" s="54" t="str"/>
      <x:c r="G167" s="54" t="str"/>
      <x:c r="H167" s="54" t="str">
        <x:v>Concentrated focus in this area. Disciplined and reliable; the risk is self-limiting caution and joyless striving.</x:v>
      </x:c>
      <x:c r="I167" s="54" t="str">
        <x:v>Egotism and needing to be the center fused with fear and rigidity, with no distance to tell them apart.</x:v>
      </x:c>
      <x:c r="J167" s="54" t="str">
        <x:v>The two fuse and intensify as they close in.</x:v>
      </x:c>
      <x:c r="K167" s="54" t="str">
        <x:v>The fused theme peaks and discharges.</x:v>
      </x:c>
      <x:c r="L167" s="54" t="str">
        <x:v>Identity meets limit and discipline. The self is built slowly, under weight, and tested against duty and consequence. Fused, these drives are difficult to separate and ask to be consciously integrated rather than acted out blindly.</x:v>
      </x:c>
      <x:c r="M167" s="54" t="str">
        <x:v>{
  "traditional": "classical and traditional sources",
  "modern": "modern aspect cookbook (psychological / popular register)",
  "cyclic": "humanistic / process-oriented source (cyclic model)"
}</x:v>
      </x:c>
      <x:c r="N167" s="54" t="str">
        <x:v>442acca291ad6792f3df5fbaed6d43cc0189d39fc1c3ac9f0a329f8feb87e263</x:v>
      </x:c>
      <x:c r="O167" s="54" t="str">
        <x:v>packages/astro-knowledge/data/transits/sun-conjunction-saturn.json</x:v>
      </x:c>
    </x:row>
    <x:row r="168" ht="90" customHeight="1">
      <x:c r="A168" s="54" t="n">
        <x:v>166</x:v>
      </x:c>
      <x:c r="B168" s="54" t="str">
        <x:v>sky.sun.opposition.saturn</x:v>
      </x:c>
      <x:c r="C168" s="54" t="str">
        <x:v>the Sun opposition Saturn: a hard contact. Vitality, authority, and recognition works against limitation, delay, and hard structure - obstruction, friction, and strained outcomes in these areas.</x:v>
      </x:c>
      <x:c r="D168" s="54" t="str">
        <x:v>Identity meets limit and discipline. The self is built slowly, under weight, and tested against duty and consequence. Psychologically the opposition is inner tension to integrate: A heavy self-concept: difficulty with authority figures, self-doubt, and a chronic sense of falling short. The remedy is steady, useful work. The growth is owning both sides instead of splitting them.</x:v>
      </x:c>
      <x:c r="E168" s="54" t="str">
        <x:v>Full (culmination)</x:v>
      </x:c>
      <x:c r="F168" s="54" t="str"/>
      <x:c r="G168" s="54" t="str"/>
      <x:c r="H168" s="54" t="str">
        <x:v>Friction in this area. Disciplined and reliable; the risk is self-limiting caution and joyless striving.</x:v>
      </x:c>
      <x:c r="I168" s="54" t="str">
        <x:v>Egotism and needing to be the center collides with fear and rigidity; forcing or splitting it instead of working it through.</x:v>
      </x:c>
      <x:c r="J168" s="54" t="str">
        <x:v>A confrontation builds; the other side comes fully into view.</x:v>
      </x:c>
      <x:c r="K168" s="54" t="str">
        <x:v>The standoff resolves into balance or a split.</x:v>
      </x:c>
      <x:c r="L168" s="54" t="str">
        <x:v>Identity meets limit and discipline. The self is built slowly, under weight, and tested against duty and consequence. Psychologically the opposition is inner tension to integrate: A heavy self-concept: difficulty with authority figures, self-doubt, and a chronic sense of falling short. The remedy is steady, useful work. The growth is owning both sides instead of splitting them.</x:v>
      </x:c>
      <x:c r="M168" s="54" t="str">
        <x:v>{
  "traditional": "classical and traditional sources",
  "modern": "modern aspect cookbook (psychological / popular register)",
  "cyclic": "humanistic / process-oriented source (cyclic model)"
}</x:v>
      </x:c>
      <x:c r="N168" s="54" t="str">
        <x:v>588b0e7117c273101d353359638d293d4617d3b215c8fa1efed336ecfc79cffc</x:v>
      </x:c>
      <x:c r="O168" s="54" t="str">
        <x:v>packages/astro-knowledge/data/transits/sun-opposition-saturn.json</x:v>
      </x:c>
    </x:row>
    <x:row r="169" ht="90" customHeight="1">
      <x:c r="A169" s="54" t="n">
        <x:v>167</x:v>
      </x:c>
      <x:c r="B169" s="54" t="str">
        <x:v>sky.sun.square.saturn</x:v>
      </x:c>
      <x:c r="C169" s="54" t="str">
        <x:v>the Sun square Saturn: a hard contact. Vitality, authority, and recognition works against limitation, delay, and hard structure - obstruction, friction, and strained outcomes in these areas.</x:v>
      </x:c>
      <x:c r="D169" s="54" t="str">
        <x:v>Identity meets limit and discipline. The self is built slowly, under weight, and tested against duty and consequence. Psychologically the square is inner tension to integrate: A heavy self-concept: difficulty with authority figures, self-doubt, and a chronic sense of falling short. The remedy is steady, useful work. The growth is owning both sides instead of splitting them.</x:v>
      </x:c>
      <x:c r="E169" s="54" t="str">
        <x:v>First / Last Quarter</x:v>
      </x:c>
      <x:c r="F169" s="54" t="str">
        <x:v>Crisis of action: take conscious hold and build a durable form for selfhood against limit, or be thrown off course.</x:v>
      </x:c>
      <x:c r="G169" s="54" t="str">
        <x:v>Crisis of meaning: break down the selfhood/limit form that has outlived its purpose and reorient toward the next cycle.</x:v>
      </x:c>
      <x:c r="H169" s="54" t="str">
        <x:v>Friction in this area. Disciplined and reliable; the risk is self-limiting caution and joyless striving.</x:v>
      </x:c>
      <x:c r="I169" s="54" t="str">
        <x:v>Egotism and needing to be the center collides with fear and rigidity; forcing or splitting it instead of working it through.</x:v>
      </x:c>
      <x:c r="J169" s="54" t="str">
        <x:v>Friction builds toward a forced adjustment.</x:v>
      </x:c>
      <x:c r="K169" s="54" t="str">
        <x:v>The crisis passes; what was restructured settles.</x:v>
      </x:c>
      <x:c r="L169" s="54" t="str">
        <x:v>Identity meets limit and discipline. The self is built slowly, under weight, and tested against duty and consequence. Psychologically the square is inner tension to integrate: A heavy self-concept: difficulty with authority figures, self-doubt, and a chronic sense of falling short. The remedy is steady, useful work. The growth is owning both sides instead of splitting them.</x:v>
      </x:c>
      <x:c r="M169" s="54" t="str">
        <x:v>{
  "traditional": "classical and traditional sources",
  "modern": "modern aspect cookbook (psychological / popular register)",
  "cyclic": "humanistic / process-oriented source (cyclic model)"
}</x:v>
      </x:c>
      <x:c r="N169" s="54" t="str">
        <x:v>a8fdd74e1701ccf3f03121360915787341b2a384014affe99081a69555938547</x:v>
      </x:c>
      <x:c r="O169" s="54" t="str">
        <x:v>packages/astro-knowledge/data/transits/sun-square-saturn.json</x:v>
      </x:c>
    </x:row>
    <x:row r="170" ht="90" customHeight="1">
      <x:c r="A170" s="54" t="n">
        <x:v>168</x:v>
      </x:c>
      <x:c r="B170" s="54" t="str">
        <x:v>sky.sun.trine.saturn</x:v>
      </x:c>
      <x:c r="C170" s="54" t="str">
        <x:v>the Sun trine Saturn: a soft contact. Vitality, authority, and recognition supports limitation, delay, and hard structure - cooperation and favorable conditions in these areas.</x:v>
      </x:c>
      <x:c r="D170" s="54" t="str">
        <x:v>Identity meets limit and discipline. The self is built slowly, under weight, and tested against duty and consequence. The trine makes this a natural strength: Practical, conservative, orderly. Benefits come grudgingly and mostly as stability rather than ease. The growth edge is not to coast on the ease.</x:v>
      </x:c>
      <x:c r="E170" s="54" t="str">
        <x:v>Waxing / waning trine</x:v>
      </x:c>
      <x:c r="F170" s="54" t="str">
        <x:v>Selfhood and limit flow together with ease; respond to the opportunity.</x:v>
      </x:c>
      <x:c r="G170" s="54" t="str">
        <x:v>Distribute and give transmissible form to what selfhood and limit have realized.</x:v>
      </x:c>
      <x:c r="H170" s="54" t="str">
        <x:v>An opening in this area. Disciplined and reliable; the risk is self-limiting caution and joyless striving.</x:v>
      </x:c>
      <x:c r="I170" s="54" t="str">
        <x:v>The ease lets egotism and needing to be the center and fear and rigidity go unchecked, or the opening pass unused.</x:v>
      </x:c>
      <x:c r="J170" s="54" t="str">
        <x:v>Ease and support build and arrive on their own.</x:v>
      </x:c>
      <x:c r="K170" s="54" t="str">
        <x:v>The ease withdraws; the flow passes, used or not.</x:v>
      </x:c>
      <x:c r="L170" s="54" t="str">
        <x:v>Identity meets limit and discipline. The self is built slowly, under weight, and tested against duty and consequence. The trine makes this a natural strength: Practical, conservative, orderly. Benefits come grudgingly and mostly as stability rather than ease. The growth edge is not to coast on the ease.</x:v>
      </x:c>
      <x:c r="M170" s="54" t="str">
        <x:v>{
  "traditional": "classical and traditional sources",
  "modern": "modern aspect cookbook (psychological / popular register)",
  "cyclic": "humanistic / process-oriented source (cyclic model)"
}</x:v>
      </x:c>
      <x:c r="N170" s="54" t="str">
        <x:v>e362be286f7926fb67e23cc8b68825d0ce63425c7cac521e2418601b728e312b</x:v>
      </x:c>
      <x:c r="O170" s="54" t="str">
        <x:v>packages/astro-knowledge/data/transits/sun-trine-saturn.json</x:v>
      </x:c>
    </x:row>
    <x:row r="171" ht="90" customHeight="1">
      <x:c r="A171" s="54" t="n">
        <x:v>169</x:v>
      </x:c>
      <x:c r="B171" s="54" t="str">
        <x:v>sky.sun.sextile.saturn</x:v>
      </x:c>
      <x:c r="C171" s="54" t="str">
        <x:v>the Sun sextile Saturn: a soft contact. Vitality, authority, and recognition supports limitation, delay, and hard structure - cooperation and favorable conditions in these areas.</x:v>
      </x:c>
      <x:c r="D171" s="54" t="str">
        <x:v>Identity meets limit and discipline. The self is built slowly, under weight, and tested against duty and consequence. The sextile makes this a natural strength: Practical, conservative, orderly. Benefits come grudgingly and mostly as stability rather than ease. The growth edge is not to coast on the ease.</x:v>
      </x:c>
      <x:c r="E171" s="54" t="str">
        <x:v>Waxing / waning sextile</x:v>
      </x:c>
      <x:c r="F171" s="54" t="str">
        <x:v>A chance to organize selfhood and limit into a new form; it must be actively taken up.</x:v>
      </x:c>
      <x:c r="G171" s="54" t="str">
        <x:v>Reorganize and share what selfhood and limit have taught; communicate the insight.</x:v>
      </x:c>
      <x:c r="H171" s="54" t="str">
        <x:v>An opening in this area. Disciplined and reliable; the risk is self-limiting caution and joyless striving.</x:v>
      </x:c>
      <x:c r="I171" s="54" t="str">
        <x:v>The ease lets egotism and needing to be the center and fear and rigidity go unchecked, or the opening pass unused.</x:v>
      </x:c>
      <x:c r="J171" s="54" t="str">
        <x:v>A supportive opening becomes available; offered, not automatic.</x:v>
      </x:c>
      <x:c r="K171" s="54" t="str">
        <x:v>The opening closes; unused, it passes.</x:v>
      </x:c>
      <x:c r="L171" s="54" t="str">
        <x:v>Identity meets limit and discipline. The self is built slowly, under weight, and tested against duty and consequence. The sextile makes this a natural strength: Practical, conservative, orderly. Benefits come grudgingly and mostly as stability rather than ease. The growth edge is not to coast on the ease.</x:v>
      </x:c>
      <x:c r="M171" s="54" t="str">
        <x:v>{
  "traditional": "classical and traditional sources",
  "modern": "modern aspect cookbook (psychological / popular register)",
  "cyclic": "humanistic / process-oriented source (cyclic model)"
}</x:v>
      </x:c>
      <x:c r="N171" s="54" t="str">
        <x:v>d7f098059dec57ea8738cc873a9c93990098434729adc1703de98cdae68fdd2b</x:v>
      </x:c>
      <x:c r="O171" s="54" t="str">
        <x:v>packages/astro-knowledge/data/transits/sun-sextile-saturn.json</x:v>
      </x:c>
    </x:row>
    <x:row r="172" ht="90" customHeight="1">
      <x:c r="A172" s="54" t="n">
        <x:v>170</x:v>
      </x:c>
      <x:c r="B172" s="54" t="str">
        <x:v>sky.sun.conjunction.uranus</x:v>
      </x:c>
      <x:c r="C172" s="54" t="str">
        <x:v>No classical doctrine: Uranus is a modern planet unknown to traditional astrology. Read from the modern and cyclic layers; treat this contact as a slow, generational background tone.</x:v>
      </x:c>
      <x:c r="D172" s="54" t="str">
        <x:v>Identity meets independence and disruption. The urge to be different and to do things your own way. Fused, these drives are difficult to separate and ask to be consciously integrated rather than acted out blindly.</x:v>
      </x:c>
      <x:c r="E172" s="54" t="str">
        <x:v>New (seed)</x:v>
      </x:c>
      <x:c r="F172" s="54" t="str"/>
      <x:c r="G172" s="54" t="str"/>
      <x:c r="H172" s="54" t="str">
        <x:v>Concentrated focus in this area. Suited to independent or innovative work where you aren't boxed in.</x:v>
      </x:c>
      <x:c r="I172" s="54" t="str">
        <x:v>Egotism and needing to be the center fused with instability for its own sake, with no distance to tell them apart.</x:v>
      </x:c>
      <x:c r="J172" s="54" t="str">
        <x:v>The two fuse and intensify as they close in.</x:v>
      </x:c>
      <x:c r="K172" s="54" t="str">
        <x:v>The fused theme peaks and discharges.</x:v>
      </x:c>
      <x:c r="L172" s="54" t="str">
        <x:v>Identity meets independence and disruption. The urge to be different and to do things your own way. Fused, these drives are difficult to separate and ask to be consciously integrated rather than acted out blindly.</x:v>
      </x:c>
      <x:c r="M172" s="54" t="str">
        <x:v>{
  "traditional": "classical and traditional sources",
  "modern": "modern aspect cookbook (psychological / popular register)",
  "cyclic": "humanistic / process-oriented source (cyclic model)"
}</x:v>
      </x:c>
      <x:c r="N172" s="54" t="str">
        <x:v>c0736bb5d944830e268cbb28920e6d3a78a269b21c7a33957343ae0697112add</x:v>
      </x:c>
      <x:c r="O172" s="54" t="str">
        <x:v>packages/astro-knowledge/data/transits/sun-conjunction-uranus.json</x:v>
      </x:c>
    </x:row>
    <x:row r="173" ht="90" customHeight="1">
      <x:c r="A173" s="54" t="n">
        <x:v>171</x:v>
      </x:c>
      <x:c r="B173" s="54" t="str">
        <x:v>sky.sun.opposition.uranus</x:v>
      </x:c>
      <x:c r="C173" s="54" t="str">
        <x:v>No classical doctrine: Uranus is a modern planet unknown to traditional astrology. Read from the modern and cyclic layers; treat this contact as a slow, generational background tone.</x:v>
      </x:c>
      <x:c r="D173" s="54" t="str">
        <x:v>Identity meets independence and disruption. The urge to be different and to do things your own way. Psychologically the opposition is inner tension to integrate: Difference for its own sake: eccentricity, instability, shocking people to no purpose. The growth is owning both sides instead of splitting them.</x:v>
      </x:c>
      <x:c r="E173" s="54" t="str">
        <x:v>Full (culmination)</x:v>
      </x:c>
      <x:c r="F173" s="54" t="str"/>
      <x:c r="G173" s="54" t="str"/>
      <x:c r="H173" s="54" t="str">
        <x:v>Friction in this area. Suited to independent or innovative work where you aren't boxed in.</x:v>
      </x:c>
      <x:c r="I173" s="54" t="str">
        <x:v>Egotism and needing to be the center collides with instability for its own sake; forcing or splitting it instead of working it through.</x:v>
      </x:c>
      <x:c r="J173" s="54" t="str">
        <x:v>A confrontation builds; the other side comes fully into view.</x:v>
      </x:c>
      <x:c r="K173" s="54" t="str">
        <x:v>The standoff resolves into balance or a split.</x:v>
      </x:c>
      <x:c r="L173" s="54" t="str">
        <x:v>Identity meets independence and disruption. The urge to be different and to do things your own way. Psychologically the opposition is inner tension to integrate: Difference for its own sake: eccentricity, instability, shocking people to no purpose. The growth is owning both sides instead of splitting them.</x:v>
      </x:c>
      <x:c r="M173" s="54" t="str">
        <x:v>{
  "traditional": "classical and traditional sources",
  "modern": "modern aspect cookbook (psychological / popular register)",
  "cyclic": "humanistic / process-oriented source (cyclic model)"
}</x:v>
      </x:c>
      <x:c r="N173" s="54" t="str">
        <x:v>544fddbdb751d96f1f4cbadc9274a2da6bfd464275457430fabdf29eab82f259</x:v>
      </x:c>
      <x:c r="O173" s="54" t="str">
        <x:v>packages/astro-knowledge/data/transits/sun-opposition-uranus.json</x:v>
      </x:c>
    </x:row>
    <x:row r="174" ht="90" customHeight="1">
      <x:c r="A174" s="54" t="n">
        <x:v>172</x:v>
      </x:c>
      <x:c r="B174" s="54" t="str">
        <x:v>sky.sun.square.uranus</x:v>
      </x:c>
      <x:c r="C174" s="54" t="str">
        <x:v>No classical doctrine: Uranus is a modern planet unknown to traditional astrology. Read from the modern and cyclic layers; treat this contact as a slow, generational background tone.</x:v>
      </x:c>
      <x:c r="D174" s="54" t="str">
        <x:v>Identity meets independence and disruption. The urge to be different and to do things your own way. Psychologically the square is inner tension to integrate: Difference for its own sake: eccentricity, instability, shocking others to no purpose. The growth is owning both sides instead of splitting them.</x:v>
      </x:c>
      <x:c r="E174" s="54" t="str">
        <x:v>First / Last Quarter</x:v>
      </x:c>
      <x:c r="F174" s="54" t="str">
        <x:v>Crisis of action: take conscious hold and build a durable form for selfhood against disruption, or be thrown off course.</x:v>
      </x:c>
      <x:c r="G174" s="54" t="str">
        <x:v>Crisis of meaning: break down the selfhood/disruption form that has outlived its purpose and reorient toward the next cycle.</x:v>
      </x:c>
      <x:c r="H174" s="54" t="str">
        <x:v>Friction in this area. Suited to independent or innovative work where you aren't boxed in.</x:v>
      </x:c>
      <x:c r="I174" s="54" t="str">
        <x:v>Egotism and needing to be the center collides with instability for its own sake; forcing or splitting it instead of working it through.</x:v>
      </x:c>
      <x:c r="J174" s="54" t="str">
        <x:v>Friction builds toward a forced adjustment.</x:v>
      </x:c>
      <x:c r="K174" s="54" t="str">
        <x:v>The crisis passes; what was restructured settles.</x:v>
      </x:c>
      <x:c r="L174" s="54" t="str">
        <x:v>Identity meets independence and disruption. The urge to be different and to do things your own way. Psychologically the square is inner tension to integrate: Difference for its own sake: eccentricity, instability, shocking others to no purpose. The growth is owning both sides instead of splitting them.</x:v>
      </x:c>
      <x:c r="M174" s="54" t="str">
        <x:v>{
  "traditional": "classical and traditional sources",
  "modern": "modern aspect cookbook (psychological / popular register)",
  "cyclic": "humanistic / process-oriented source (cyclic model)"
}</x:v>
      </x:c>
      <x:c r="N174" s="54" t="str">
        <x:v>cde22e363d9ce55a3428c0a493934f0cf30df6a7b12ffa375e2aaf26bf5773fe</x:v>
      </x:c>
      <x:c r="O174" s="54" t="str">
        <x:v>packages/astro-knowledge/data/transits/sun-square-uranus.json</x:v>
      </x:c>
    </x:row>
    <x:row r="175" ht="90" customHeight="1">
      <x:c r="A175" s="54" t="n">
        <x:v>173</x:v>
      </x:c>
      <x:c r="B175" s="54" t="str">
        <x:v>sky.sun.trine.uranus</x:v>
      </x:c>
      <x:c r="C175" s="54" t="str">
        <x:v>No classical doctrine: Uranus is a modern planet unknown to traditional astrology. Read from the modern and cyclic layers; treat this contact as a slow, generational background tone.</x:v>
      </x:c>
      <x:c r="D175" s="54" t="str">
        <x:v>Identity meets independence and disruption. The urge to be different and to do things your own way. The trine makes this a natural strength: Originality that reads as brilliance or healthy independence. The growth edge is not to coast on the ease.</x:v>
      </x:c>
      <x:c r="E175" s="54" t="str">
        <x:v>Waxing / waning trine</x:v>
      </x:c>
      <x:c r="F175" s="54" t="str">
        <x:v>Selfhood and disruption flow together with ease; respond to the opportunity.</x:v>
      </x:c>
      <x:c r="G175" s="54" t="str">
        <x:v>Distribute and give transmissible form to what selfhood and disruption have realized.</x:v>
      </x:c>
      <x:c r="H175" s="54" t="str">
        <x:v>An opening in this area. Suited to independent or innovative work where you aren't boxed in.</x:v>
      </x:c>
      <x:c r="I175" s="54" t="str">
        <x:v>The ease lets egotism and needing to be the center and instability for its own sake go unchecked, or the opening pass unused.</x:v>
      </x:c>
      <x:c r="J175" s="54" t="str">
        <x:v>Ease and support build and arrive on their own.</x:v>
      </x:c>
      <x:c r="K175" s="54" t="str">
        <x:v>The ease withdraws; the flow passes, used or not.</x:v>
      </x:c>
      <x:c r="L175" s="54" t="str">
        <x:v>Identity meets independence and disruption. The urge to be different and to do things your own way. The trine makes this a natural strength: Originality that reads as brilliance or healthy independence. The growth edge is not to coast on the ease.</x:v>
      </x:c>
      <x:c r="M175" s="54" t="str">
        <x:v>{
  "traditional": "classical and traditional sources",
  "modern": "modern aspect cookbook (psychological / popular register)",
  "cyclic": "humanistic / process-oriented source (cyclic model)"
}</x:v>
      </x:c>
      <x:c r="N175" s="54" t="str">
        <x:v>7253e8dc9f2f3c4f4bf05fb3cccf6059a50a660632c44c7c4b1e8f795e90b732</x:v>
      </x:c>
      <x:c r="O175" s="54" t="str">
        <x:v>packages/astro-knowledge/data/transits/sun-trine-uranus.json</x:v>
      </x:c>
    </x:row>
    <x:row r="176" ht="90" customHeight="1">
      <x:c r="A176" s="54" t="n">
        <x:v>174</x:v>
      </x:c>
      <x:c r="B176" s="54" t="str">
        <x:v>sky.sun.sextile.uranus</x:v>
      </x:c>
      <x:c r="C176" s="54" t="str">
        <x:v>No classical doctrine: Uranus is a modern planet unknown to traditional astrology. Read from the modern and cyclic layers; treat this contact as a slow, generational background tone.</x:v>
      </x:c>
      <x:c r="D176" s="54" t="str">
        <x:v>Identity meets independence and disruption. The urge to be different and to do things your own way. The sextile makes this a natural strength: Originality that reads as brilliance or healthy independence. The growth edge is not to coast on the ease.</x:v>
      </x:c>
      <x:c r="E176" s="54" t="str">
        <x:v>Waxing / waning sextile</x:v>
      </x:c>
      <x:c r="F176" s="54" t="str">
        <x:v>A chance to organize selfhood and disruption into a new form; it must be actively taken up.</x:v>
      </x:c>
      <x:c r="G176" s="54" t="str">
        <x:v>Reorganize and share what selfhood and disruption have taught; communicate the insight.</x:v>
      </x:c>
      <x:c r="H176" s="54" t="str">
        <x:v>An opening in this area. Suited to independent or innovative work where you aren't boxed in.</x:v>
      </x:c>
      <x:c r="I176" s="54" t="str">
        <x:v>The ease lets egotism and needing to be the center and instability for its own sake go unchecked, or the opening pass unused.</x:v>
      </x:c>
      <x:c r="J176" s="54" t="str">
        <x:v>A supportive opening becomes available; offered, not automatic.</x:v>
      </x:c>
      <x:c r="K176" s="54" t="str">
        <x:v>The opening closes; unused, it passes.</x:v>
      </x:c>
      <x:c r="L176" s="54" t="str">
        <x:v>Identity meets independence and disruption. The urge to be different and to do things your own way. The sextile makes this a natural strength: Originality that reads as brilliance or healthy independence. The growth edge is not to coast on the ease.</x:v>
      </x:c>
      <x:c r="M176" s="54" t="str">
        <x:v>{
  "traditional": "classical and traditional sources",
  "modern": "modern aspect cookbook (psychological / popular register)",
  "cyclic": "humanistic / process-oriented source (cyclic model)"
}</x:v>
      </x:c>
      <x:c r="N176" s="54" t="str">
        <x:v>bf7ce16d067141c5fed974705c3252f8efb7d176ad170c4ef31be7e4e8d5414f</x:v>
      </x:c>
      <x:c r="O176" s="54" t="str">
        <x:v>packages/astro-knowledge/data/transits/sun-sextile-uranus.json</x:v>
      </x:c>
    </x:row>
    <x:row r="177" ht="90" customHeight="1">
      <x:c r="A177" s="54" t="n">
        <x:v>175</x:v>
      </x:c>
      <x:c r="B177" s="54" t="str">
        <x:v>sky.sun.conjunction.venus</x:v>
      </x:c>
      <x:c r="C177" s="54" t="str">
        <x:v>Love, money, and pleasure fused with vitality, authority, and recognition. The two act as one and the combined significations are hard to separate.</x:v>
      </x:c>
      <x:c r="D177" s="54" t="str">
        <x:v>Identity blended with charm, pleasure, and a sense of value. Sociability and taste become part of how you show up. Only the conjunction is possible, as Venus stays close to the Sun. Fused, these drives are difficult to separate and ask to be consciously integrated rather than acted out blindly.</x:v>
      </x:c>
      <x:c r="E177" s="54" t="str">
        <x:v>New (seed)</x:v>
      </x:c>
      <x:c r="F177" s="54" t="str"/>
      <x:c r="G177" s="54" t="str"/>
      <x:c r="H177" s="54" t="str">
        <x:v>Concentrated focus in this area. Tends to be well-liked in the work and to 'look good' doing it.</x:v>
      </x:c>
      <x:c r="I177" s="54" t="str">
        <x:v>Indulgence and vanity fused with egotism and needing to be the center, with no distance to tell them apart.</x:v>
      </x:c>
      <x:c r="J177" s="54" t="str">
        <x:v>The two fuse and intensify as they close in.</x:v>
      </x:c>
      <x:c r="K177" s="54" t="str">
        <x:v>The fused theme peaks and discharges.</x:v>
      </x:c>
      <x:c r="L177" s="54" t="str">
        <x:v>Identity blended with charm, pleasure, and a sense of value. Sociability and taste become part of how you show up. Only the conjunction is possible, as Venus stays close to the Sun. Fused, these drives are difficult to separate and ask to be consciously integrated rather than acted out blindly.</x:v>
      </x:c>
      <x:c r="M177" s="54" t="str">
        <x:v>{
  "traditional": "classical and traditional sources",
  "modern": "modern aspect cookbook (psychological / popular register)",
  "cyclic": "humanistic / process-oriented source (cyclic model)"
}</x:v>
      </x:c>
      <x:c r="N177" s="54" t="str">
        <x:v>951887aaa85d3cff5ee6f932a6623f0f229caf612c82c03b32e108f93264e974</x:v>
      </x:c>
      <x:c r="O177" s="54" t="str">
        <x:v>packages/astro-knowledge/data/transits/sun-conjunction-venus.json</x:v>
      </x:c>
    </x:row>
    <x:row r="178" ht="90" customHeight="1">
      <x:c r="A178" s="54" t="n">
        <x:v>176</x:v>
      </x:c>
      <x:c r="B178" s="54" t="str">
        <x:v>sky.uranus.conjunction.neptune</x:v>
      </x:c>
      <x:c r="C178" s="54" t="str">
        <x:v>No classical doctrine: Uranus, Neptune is a modern planet unknown to traditional astrology. Read from the modern and cyclic layers; treat this contact as a slow, generational background tone.</x:v>
      </x:c>
      <x:c r="D178" s="54" t="str">
        <x:v>Disruption meets imagination. A generational signature: radical ideals and visionary change. Fused, these drives are difficult to separate and ask to be consciously integrated rather than acted out blindly.</x:v>
      </x:c>
      <x:c r="E178" s="54" t="str">
        <x:v>New (seed)</x:v>
      </x:c>
      <x:c r="F178" s="54" t="str"/>
      <x:c r="G178" s="54" t="str"/>
      <x:c r="H178" s="54" t="str">
        <x:v>Concentrated focus in this area. Generational and visionary themes rather than a personal day-to-day read.</x:v>
      </x:c>
      <x:c r="I178" s="54" t="str">
        <x:v>Instability for its own sake fused with illusion and escapism, with no distance to tell them apart.</x:v>
      </x:c>
      <x:c r="J178" s="54" t="str">
        <x:v>The two fuse and intensify as they close in.</x:v>
      </x:c>
      <x:c r="K178" s="54" t="str">
        <x:v>The fused theme peaks and discharges.</x:v>
      </x:c>
      <x:c r="L178" s="54" t="str">
        <x:v>Disruption meets imagination. A generational signature: radical ideals and visionary change. Fused, these drives are difficult to separate and ask to be consciously integrated rather than acted out blindly.</x:v>
      </x:c>
      <x:c r="M178" s="54" t="str">
        <x:v>{
  "traditional": "classical and traditional sources",
  "modern": "modern aspect cookbook (psychological / popular register)",
  "cyclic": "humanistic / process-oriented source (cyclic model)"
}</x:v>
      </x:c>
      <x:c r="N178" s="54" t="str">
        <x:v>1bbbe53b61dea816f4823930fa5ac66ce9e4a0a464c7fae7d437496de5a3369f</x:v>
      </x:c>
      <x:c r="O178" s="54" t="str">
        <x:v>packages/astro-knowledge/data/transits/uranus-conjunction-neptune.json</x:v>
      </x:c>
    </x:row>
    <x:row r="179" ht="90" customHeight="1">
      <x:c r="A179" s="54" t="n">
        <x:v>177</x:v>
      </x:c>
      <x:c r="B179" s="54" t="str">
        <x:v>sky.uranus.opposition.neptune</x:v>
      </x:c>
      <x:c r="C179" s="54" t="str">
        <x:v>No classical doctrine: Uranus, Neptune is a modern planet unknown to traditional astrology. Read from the modern and cyclic layers; treat this contact as a slow, generational background tone.</x:v>
      </x:c>
      <x:c r="D179" s="54" t="str">
        <x:v>Disruption meets imagination. A generational signature: radical ideals and visionary change. Psychologically the opposition is inner tension to integrate: Idealism that destabilizes more than it builds. The growth is owning both sides instead of splitting them.</x:v>
      </x:c>
      <x:c r="E179" s="54" t="str">
        <x:v>Full (culmination)</x:v>
      </x:c>
      <x:c r="F179" s="54" t="str"/>
      <x:c r="G179" s="54" t="str"/>
      <x:c r="H179" s="54" t="str">
        <x:v>Friction in this area. Generational and visionary themes rather than a personal day-to-day read.</x:v>
      </x:c>
      <x:c r="I179" s="54" t="str">
        <x:v>Instability for its own sake collides with illusion and escapism; forcing or splitting it instead of working it through.</x:v>
      </x:c>
      <x:c r="J179" s="54" t="str">
        <x:v>A confrontation builds; the other side comes fully into view.</x:v>
      </x:c>
      <x:c r="K179" s="54" t="str">
        <x:v>The standoff resolves into balance or a split.</x:v>
      </x:c>
      <x:c r="L179" s="54" t="str">
        <x:v>Disruption meets imagination. A generational signature: radical ideals and visionary change. Psychologically the opposition is inner tension to integrate: Idealism that destabilizes more than it builds. The growth is owning both sides instead of splitting them.</x:v>
      </x:c>
      <x:c r="M179" s="54" t="str">
        <x:v>{
  "traditional": "classical and traditional sources",
  "modern": "modern aspect cookbook (psychological / popular register)",
  "cyclic": "humanistic / process-oriented source (cyclic model)"
}</x:v>
      </x:c>
      <x:c r="N179" s="54" t="str">
        <x:v>1fa1bccc9afa62c55635677fa5a4e0a52bead51fff3234b601ceddab28c30432</x:v>
      </x:c>
      <x:c r="O179" s="54" t="str">
        <x:v>packages/astro-knowledge/data/transits/uranus-opposition-neptune.json</x:v>
      </x:c>
    </x:row>
    <x:row r="180" ht="90" customHeight="1">
      <x:c r="A180" s="54" t="n">
        <x:v>178</x:v>
      </x:c>
      <x:c r="B180" s="54" t="str">
        <x:v>sky.uranus.square.neptune</x:v>
      </x:c>
      <x:c r="C180" s="54" t="str">
        <x:v>No classical doctrine: Uranus, Neptune is a modern planet unknown to traditional astrology. Read from the modern and cyclic layers; treat this contact as a slow, generational background tone.</x:v>
      </x:c>
      <x:c r="D180" s="54" t="str">
        <x:v>Disruption meets imagination. A generational signature: radical ideals and visionary change. Psychologically the square is inner tension to integrate: Idealism that destabilizes more than it builds. The growth is owning both sides instead of splitting them.</x:v>
      </x:c>
      <x:c r="E180" s="54" t="str">
        <x:v>First / Last Quarter</x:v>
      </x:c>
      <x:c r="F180" s="54" t="str">
        <x:v>Crisis of action: take conscious hold and build a durable form for disruption against imagination, or be thrown off course.</x:v>
      </x:c>
      <x:c r="G180" s="54" t="str">
        <x:v>Crisis of meaning: break down the disruption/imagination form that has outlived its purpose and reorient toward the next cycle.</x:v>
      </x:c>
      <x:c r="H180" s="54" t="str">
        <x:v>Friction in this area. Generational and visionary themes rather than a personal day-to-day read.</x:v>
      </x:c>
      <x:c r="I180" s="54" t="str">
        <x:v>Instability for its own sake collides with illusion and escapism; forcing or splitting it instead of working it through.</x:v>
      </x:c>
      <x:c r="J180" s="54" t="str">
        <x:v>Friction builds toward a forced adjustment.</x:v>
      </x:c>
      <x:c r="K180" s="54" t="str">
        <x:v>The crisis passes; what was restructured settles.</x:v>
      </x:c>
      <x:c r="L180" s="54" t="str">
        <x:v>Disruption meets imagination. A generational signature: radical ideals and visionary change. Psychologically the square is inner tension to integrate: Idealism that destabilizes more than it builds. The growth is owning both sides instead of splitting them.</x:v>
      </x:c>
      <x:c r="M180" s="54" t="str">
        <x:v>{
  "traditional": "classical and traditional sources",
  "modern": "modern aspect cookbook (psychological / popular register)",
  "cyclic": "humanistic / process-oriented source (cyclic model)"
}</x:v>
      </x:c>
      <x:c r="N180" s="54" t="str">
        <x:v>d41cd03a231c74b4c59dbeae1079994f148ff2efc6ded1f8adf81bb6b6c8748c</x:v>
      </x:c>
      <x:c r="O180" s="54" t="str">
        <x:v>packages/astro-knowledge/data/transits/uranus-square-neptune.json</x:v>
      </x:c>
    </x:row>
    <x:row r="181" ht="90" customHeight="1">
      <x:c r="A181" s="54" t="n">
        <x:v>179</x:v>
      </x:c>
      <x:c r="B181" s="54" t="str">
        <x:v>sky.uranus.trine.neptune</x:v>
      </x:c>
      <x:c r="C181" s="54" t="str">
        <x:v>No classical doctrine: Uranus, Neptune is a modern planet unknown to traditional astrology. Read from the modern and cyclic layers; treat this contact as a slow, generational background tone.</x:v>
      </x:c>
      <x:c r="D181" s="54" t="str">
        <x:v>Disruption meets imagination. A generational signature: radical ideals and visionary change. The trine makes this a natural strength: Visionary ideals expressed in livable ways. The growth edge is not to coast on the ease.</x:v>
      </x:c>
      <x:c r="E181" s="54" t="str">
        <x:v>Waxing / waning trine</x:v>
      </x:c>
      <x:c r="F181" s="54" t="str">
        <x:v>Disruption and imagination flow together with ease; respond to the opportunity.</x:v>
      </x:c>
      <x:c r="G181" s="54" t="str">
        <x:v>Distribute and give transmissible form to what disruption and imagination have realized.</x:v>
      </x:c>
      <x:c r="H181" s="54" t="str">
        <x:v>An opening in this area. Generational and visionary themes rather than a personal day-to-day read.</x:v>
      </x:c>
      <x:c r="I181" s="54" t="str">
        <x:v>The ease lets instability for its own sake and illusion and escapism go unchecked, or the opening pass unused.</x:v>
      </x:c>
      <x:c r="J181" s="54" t="str">
        <x:v>Ease and support build and arrive on their own.</x:v>
      </x:c>
      <x:c r="K181" s="54" t="str">
        <x:v>The ease withdraws; the flow passes, used or not.</x:v>
      </x:c>
      <x:c r="L181" s="54" t="str">
        <x:v>Disruption meets imagination. A generational signature: radical ideals and visionary change. The trine makes this a natural strength: Visionary ideals expressed in livable ways. The growth edge is not to coast on the ease.</x:v>
      </x:c>
      <x:c r="M181" s="54" t="str">
        <x:v>{
  "traditional": "classical and traditional sources",
  "modern": "modern aspect cookbook (psychological / popular register)",
  "cyclic": "humanistic / process-oriented source (cyclic model)"
}</x:v>
      </x:c>
      <x:c r="N181" s="54" t="str">
        <x:v>5f6778e4c01e4452ea2416a8e8c18738e88de90d7031b2300e02d27c009315ba</x:v>
      </x:c>
      <x:c r="O181" s="54" t="str">
        <x:v>packages/astro-knowledge/data/transits/uranus-trine-neptune.json</x:v>
      </x:c>
    </x:row>
    <x:row r="182" ht="90" customHeight="1">
      <x:c r="A182" s="54" t="n">
        <x:v>180</x:v>
      </x:c>
      <x:c r="B182" s="54" t="str">
        <x:v>sky.uranus.sextile.neptune</x:v>
      </x:c>
      <x:c r="C182" s="54" t="str">
        <x:v>No classical doctrine: Uranus, Neptune is a modern planet unknown to traditional astrology. Read from the modern and cyclic layers; treat this contact as a slow, generational background tone.</x:v>
      </x:c>
      <x:c r="D182" s="54" t="str">
        <x:v>Disruption meets imagination. A generational signature: radical ideals and visionary change. The sextile makes this a natural strength: Visionary ideals expressed in livable ways. The growth edge is not to coast on the ease.</x:v>
      </x:c>
      <x:c r="E182" s="54" t="str">
        <x:v>Waxing / waning sextile</x:v>
      </x:c>
      <x:c r="F182" s="54" t="str">
        <x:v>A chance to organize disruption and imagination into a new form; it must be actively taken up.</x:v>
      </x:c>
      <x:c r="G182" s="54" t="str">
        <x:v>Reorganize and share what disruption and imagination have taught; communicate the insight.</x:v>
      </x:c>
      <x:c r="H182" s="54" t="str">
        <x:v>An opening in this area. Generational and visionary themes rather than a personal day-to-day read.</x:v>
      </x:c>
      <x:c r="I182" s="54" t="str">
        <x:v>The ease lets instability for its own sake and illusion and escapism go unchecked, or the opening pass unused.</x:v>
      </x:c>
      <x:c r="J182" s="54" t="str">
        <x:v>A supportive opening becomes available; offered, not automatic.</x:v>
      </x:c>
      <x:c r="K182" s="54" t="str">
        <x:v>The opening closes; unused, it passes.</x:v>
      </x:c>
      <x:c r="L182" s="54" t="str">
        <x:v>Disruption meets imagination. A generational signature: radical ideals and visionary change. The sextile makes this a natural strength: Visionary ideals expressed in livable ways. The growth edge is not to coast on the ease.</x:v>
      </x:c>
      <x:c r="M182" s="54" t="str">
        <x:v>{
  "traditional": "classical and traditional sources",
  "modern": "modern aspect cookbook (psychological / popular register)",
  "cyclic": "humanistic / process-oriented source (cyclic model)"
}</x:v>
      </x:c>
      <x:c r="N182" s="54" t="str">
        <x:v>bd932728ba414b802cc1bd2729c0c067ffdec6c0ac2e06bbae7a537954e2b150</x:v>
      </x:c>
      <x:c r="O182" s="54" t="str">
        <x:v>packages/astro-knowledge/data/transits/uranus-sextile-neptune.json</x:v>
      </x:c>
    </x:row>
    <x:row r="183" ht="90" customHeight="1">
      <x:c r="A183" s="54" t="n">
        <x:v>181</x:v>
      </x:c>
      <x:c r="B183" s="54" t="str">
        <x:v>sky.uranus.conjunction.pluto</x:v>
      </x:c>
      <x:c r="C183" s="54" t="str">
        <x:v>No classical doctrine: Uranus, Pluto is a modern planet unknown to traditional astrology. Read from the modern and cyclic layers; treat this contact as a slow, generational background tone.</x:v>
      </x:c>
      <x:c r="D183" s="54" t="str">
        <x:v>Disruption meets power. Upheaval and radical transformation, often tied to social change; quick adaptation to new technology. Fused, these drives are difficult to separate and ask to be consciously integrated rather than acted out blindly.</x:v>
      </x:c>
      <x:c r="E183" s="54" t="str">
        <x:v>New (seed)</x:v>
      </x:c>
      <x:c r="F183" s="54" t="str"/>
      <x:c r="G183" s="54" t="str"/>
      <x:c r="H183" s="54" t="str">
        <x:v>Concentrated focus in this area. Transformative, disruptive, generational themes.</x:v>
      </x:c>
      <x:c r="I183" s="54" t="str">
        <x:v>Instability for its own sake fused with control and obsession, with no distance to tell them apart.</x:v>
      </x:c>
      <x:c r="J183" s="54" t="str">
        <x:v>The two fuse and intensify as they close in.</x:v>
      </x:c>
      <x:c r="K183" s="54" t="str">
        <x:v>The fused theme peaks and discharges.</x:v>
      </x:c>
      <x:c r="L183" s="54" t="str">
        <x:v>Disruption meets power. Upheaval and radical transformation, often tied to social change; quick adaptation to new technology. Fused, these drives are difficult to separate and ask to be consciously integrated rather than acted out blindly.</x:v>
      </x:c>
      <x:c r="M183" s="54" t="str">
        <x:v>{
  "traditional": "classical and traditional sources",
  "modern": "modern aspect cookbook (psychological / popular register)",
  "cyclic": "humanistic / process-oriented source (cyclic model)"
}</x:v>
      </x:c>
      <x:c r="N183" s="54" t="str">
        <x:v>dccec009ad3fc218f96f9eab7ca1e8a240a5fc10df9a499c612573c58cfbccb1</x:v>
      </x:c>
      <x:c r="O183" s="54" t="str">
        <x:v>packages/astro-knowledge/data/transits/uranus-conjunction-pluto.json</x:v>
      </x:c>
    </x:row>
    <x:row r="184" ht="90" customHeight="1">
      <x:c r="A184" s="54" t="n">
        <x:v>182</x:v>
      </x:c>
      <x:c r="B184" s="54" t="str">
        <x:v>sky.uranus.opposition.pluto</x:v>
      </x:c>
      <x:c r="C184" s="54" t="str">
        <x:v>No classical doctrine: Uranus, Pluto is a modern planet unknown to traditional astrology. Read from the modern and cyclic layers; treat this contact as a slow, generational background tone.</x:v>
      </x:c>
      <x:c r="D184" s="54" t="str">
        <x:v>Disruption meets power. Upheaval and radical transformation, often tied to social change; quick adaptation to new technology. Psychologically the opposition is inner tension to integrate: Destructive upheaval and the urge to overturn at speed. The growth is owning both sides instead of splitting them.</x:v>
      </x:c>
      <x:c r="E184" s="54" t="str">
        <x:v>Full (culmination)</x:v>
      </x:c>
      <x:c r="F184" s="54" t="str"/>
      <x:c r="G184" s="54" t="str"/>
      <x:c r="H184" s="54" t="str">
        <x:v>Friction in this area. Transformative, disruptive, generational themes.</x:v>
      </x:c>
      <x:c r="I184" s="54" t="str">
        <x:v>Instability for its own sake collides with control and obsession; forcing or splitting it instead of working it through.</x:v>
      </x:c>
      <x:c r="J184" s="54" t="str">
        <x:v>A confrontation builds; the other side comes fully into view.</x:v>
      </x:c>
      <x:c r="K184" s="54" t="str">
        <x:v>The standoff resolves into balance or a split.</x:v>
      </x:c>
      <x:c r="L184" s="54" t="str">
        <x:v>Disruption meets power. Upheaval and radical transformation, often tied to social change; quick adaptation to new technology. Psychologically the opposition is inner tension to integrate: Destructive upheaval and the urge to overturn at speed. The growth is owning both sides instead of splitting them.</x:v>
      </x:c>
      <x:c r="M184" s="54" t="str">
        <x:v>{
  "traditional": "classical and traditional sources",
  "modern": "modern aspect cookbook (psychological / popular register)",
  "cyclic": "humanistic / process-oriented source (cyclic model)"
}</x:v>
      </x:c>
      <x:c r="N184" s="54" t="str">
        <x:v>e59d1a471bfd3d264fc497a8569bc7e8e181875f1f4af4c6518f2f8b13baffd3</x:v>
      </x:c>
      <x:c r="O184" s="54" t="str">
        <x:v>packages/astro-knowledge/data/transits/uranus-opposition-pluto.json</x:v>
      </x:c>
    </x:row>
    <x:row r="185" ht="90" customHeight="1">
      <x:c r="A185" s="54" t="n">
        <x:v>183</x:v>
      </x:c>
      <x:c r="B185" s="54" t="str">
        <x:v>sky.uranus.square.pluto</x:v>
      </x:c>
      <x:c r="C185" s="54" t="str">
        <x:v>No classical doctrine: Uranus, Pluto is a modern planet unknown to traditional astrology. Read from the modern and cyclic layers; treat this contact as a slow, generational background tone.</x:v>
      </x:c>
      <x:c r="D185" s="54" t="str">
        <x:v>Disruption meets power. Upheaval and radical transformation, often tied to social change; quick adaptation to new technology. Psychologically the square is inner tension to integrate: Destructive upheaval and the urge to overturn at speed. The growth is owning both sides instead of splitting them.</x:v>
      </x:c>
      <x:c r="E185" s="54" t="str">
        <x:v>First / Last Quarter</x:v>
      </x:c>
      <x:c r="F185" s="54" t="str">
        <x:v>Crisis of action: take conscious hold and build a durable form for disruption against power, or be thrown off course.</x:v>
      </x:c>
      <x:c r="G185" s="54" t="str">
        <x:v>Crisis of meaning: break down the disruption/power form that has outlived its purpose and reorient toward the next cycle.</x:v>
      </x:c>
      <x:c r="H185" s="54" t="str">
        <x:v>Friction in this area. Transformative, disruptive, generational themes.</x:v>
      </x:c>
      <x:c r="I185" s="54" t="str">
        <x:v>Instability for its own sake collides with control and obsession; forcing or splitting it instead of working it through.</x:v>
      </x:c>
      <x:c r="J185" s="54" t="str">
        <x:v>Friction builds toward a forced adjustment.</x:v>
      </x:c>
      <x:c r="K185" s="54" t="str">
        <x:v>The crisis passes; what was restructured settles.</x:v>
      </x:c>
      <x:c r="L185" s="54" t="str">
        <x:v>Disruption meets power. Upheaval and radical transformation, often tied to social change; quick adaptation to new technology. Psychologically the square is inner tension to integrate: Destructive upheaval and the urge to overturn at speed. The growth is owning both sides instead of splitting them.</x:v>
      </x:c>
      <x:c r="M185" s="54" t="str">
        <x:v>{
  "traditional": "classical and traditional sources",
  "modern": "modern aspect cookbook (psychological / popular register)",
  "cyclic": "humanistic / process-oriented source (cyclic model)"
}</x:v>
      </x:c>
      <x:c r="N185" s="54" t="str">
        <x:v>8a06ff931a86dc643a54087f6ad9237d5db8d9e52a09328563d3f270f0d15772</x:v>
      </x:c>
      <x:c r="O185" s="54" t="str">
        <x:v>packages/astro-knowledge/data/transits/uranus-square-pluto.json</x:v>
      </x:c>
    </x:row>
    <x:row r="186" ht="90" customHeight="1">
      <x:c r="A186" s="54" t="n">
        <x:v>184</x:v>
      </x:c>
      <x:c r="B186" s="54" t="str">
        <x:v>sky.uranus.trine.pluto</x:v>
      </x:c>
      <x:c r="C186" s="54" t="str">
        <x:v>No classical doctrine: Uranus, Pluto is a modern planet unknown to traditional astrology. Read from the modern and cyclic layers; treat this contact as a slow, generational background tone.</x:v>
      </x:c>
      <x:c r="D186" s="54" t="str">
        <x:v>Disruption meets power. Upheaval and radical transformation, often tied to social change; quick adaptation to new technology. The trine makes this a natural strength: Fast, effective adaptation to change. The growth edge is not to coast on the ease.</x:v>
      </x:c>
      <x:c r="E186" s="54" t="str">
        <x:v>Waxing / waning trine</x:v>
      </x:c>
      <x:c r="F186" s="54" t="str">
        <x:v>Disruption and power flow together with ease; respond to the opportunity.</x:v>
      </x:c>
      <x:c r="G186" s="54" t="str">
        <x:v>Distribute and give transmissible form to what disruption and power have realized.</x:v>
      </x:c>
      <x:c r="H186" s="54" t="str">
        <x:v>An opening in this area. Transformative, disruptive, generational themes.</x:v>
      </x:c>
      <x:c r="I186" s="54" t="str">
        <x:v>The ease lets instability for its own sake and control and obsession go unchecked, or the opening pass unused.</x:v>
      </x:c>
      <x:c r="J186" s="54" t="str">
        <x:v>Ease and support build and arrive on their own.</x:v>
      </x:c>
      <x:c r="K186" s="54" t="str">
        <x:v>The ease withdraws; the flow passes, used or not.</x:v>
      </x:c>
      <x:c r="L186" s="54" t="str">
        <x:v>Disruption meets power. Upheaval and radical transformation, often tied to social change; quick adaptation to new technology. The trine makes this a natural strength: Fast, effective adaptation to change. The growth edge is not to coast on the ease.</x:v>
      </x:c>
      <x:c r="M186" s="54" t="str">
        <x:v>{
  "traditional": "classical and traditional sources",
  "modern": "modern aspect cookbook (psychological / popular register)",
  "cyclic": "humanistic / process-oriented source (cyclic model)"
}</x:v>
      </x:c>
      <x:c r="N186" s="54" t="str">
        <x:v>8485ea1f2e43f8ab34c435c80dd61081ef518a369440adedc87824f55e97736d</x:v>
      </x:c>
      <x:c r="O186" s="54" t="str">
        <x:v>packages/astro-knowledge/data/transits/uranus-trine-pluto.json</x:v>
      </x:c>
    </x:row>
    <x:row r="187" ht="90" customHeight="1">
      <x:c r="A187" s="54" t="n">
        <x:v>185</x:v>
      </x:c>
      <x:c r="B187" s="54" t="str">
        <x:v>sky.uranus.sextile.pluto</x:v>
      </x:c>
      <x:c r="C187" s="54" t="str">
        <x:v>No classical doctrine: Uranus, Pluto is a modern planet unknown to traditional astrology. Read from the modern and cyclic layers; treat this contact as a slow, generational background tone.</x:v>
      </x:c>
      <x:c r="D187" s="54" t="str">
        <x:v>Disruption meets power. Upheaval and radical transformation, often tied to social change; quick adaptation to new technology. The sextile makes this a natural strength: Fast, effective adaptation to change. The growth edge is not to coast on the ease.</x:v>
      </x:c>
      <x:c r="E187" s="54" t="str">
        <x:v>Waxing / waning sextile</x:v>
      </x:c>
      <x:c r="F187" s="54" t="str">
        <x:v>A chance to organize disruption and power into a new form; it must be actively taken up.</x:v>
      </x:c>
      <x:c r="G187" s="54" t="str">
        <x:v>Reorganize and share what disruption and power have taught; communicate the insight.</x:v>
      </x:c>
      <x:c r="H187" s="54" t="str">
        <x:v>An opening in this area. Transformative, disruptive, generational themes.</x:v>
      </x:c>
      <x:c r="I187" s="54" t="str">
        <x:v>The ease lets instability for its own sake and control and obsession go unchecked, or the opening pass unused.</x:v>
      </x:c>
      <x:c r="J187" s="54" t="str">
        <x:v>A supportive opening becomes available; offered, not automatic.</x:v>
      </x:c>
      <x:c r="K187" s="54" t="str">
        <x:v>The opening closes; unused, it passes.</x:v>
      </x:c>
      <x:c r="L187" s="54" t="str">
        <x:v>Disruption meets power. Upheaval and radical transformation, often tied to social change; quick adaptation to new technology. The sextile makes this a natural strength: Fast, effective adaptation to change. The growth edge is not to coast on the ease.</x:v>
      </x:c>
      <x:c r="M187" s="54" t="str">
        <x:v>{
  "traditional": "classical and traditional sources",
  "modern": "modern aspect cookbook (psychological / popular register)",
  "cyclic": "humanistic / process-oriented source (cyclic model)"
}</x:v>
      </x:c>
      <x:c r="N187" s="54" t="str">
        <x:v>097a9de7bc4b008540c38b49a74af5cf3abae880c344d67dee377dac410529cc</x:v>
      </x:c>
      <x:c r="O187" s="54" t="str">
        <x:v>packages/astro-knowledge/data/transits/uranus-sextile-pluto.json</x:v>
      </x:c>
    </x:row>
    <x:row r="188" ht="90" customHeight="1">
      <x:c r="A188" s="54" t="n">
        <x:v>186</x:v>
      </x:c>
      <x:c r="B188" s="54" t="str">
        <x:v>sky.venus.conjunction.jupiter</x:v>
      </x:c>
      <x:c r="C188" s="54" t="str">
        <x:v>Love, money, and pleasure fused with growth, fortune, and patronage. The two act as one and the combined significations are hard to separate. Two benefics: among the easiest contacts, though it can incline to excess.</x:v>
      </x:c>
      <x:c r="D188" s="54" t="str">
        <x:v>Pleasure meets expansion. Gentleness, generosity, sensitivity, and a great deal of ease. Fused, these drives are difficult to separate and ask to be consciously integrated rather than acted out blindly.</x:v>
      </x:c>
      <x:c r="E188" s="54" t="str">
        <x:v>New (seed)</x:v>
      </x:c>
      <x:c r="F188" s="54" t="str"/>
      <x:c r="G188" s="54" t="str"/>
      <x:c r="H188" s="54" t="str">
        <x:v>Concentrated focus in this area. Likable and fortunate; the missing ingredient is discipline.</x:v>
      </x:c>
      <x:c r="I188" s="54" t="str">
        <x:v>Indulgence and vanity fused with excess and overreach, with no distance to tell them apart.</x:v>
      </x:c>
      <x:c r="J188" s="54" t="str">
        <x:v>The two fuse and intensify as they close in.</x:v>
      </x:c>
      <x:c r="K188" s="54" t="str">
        <x:v>The fused theme peaks and discharges.</x:v>
      </x:c>
      <x:c r="L188" s="54" t="str">
        <x:v>Pleasure meets expansion. Gentleness, generosity, sensitivity, and a great deal of ease. Fused, these drives are difficult to separate and ask to be consciously integrated rather than acted out blindly.</x:v>
      </x:c>
      <x:c r="M188" s="54" t="str">
        <x:v>{
  "traditional": "classical and traditional sources",
  "modern": "modern aspect cookbook (psychological / popular register)",
  "cyclic": "humanistic / process-oriented source (cyclic model)"
}</x:v>
      </x:c>
      <x:c r="N188" s="54" t="str">
        <x:v>c0ae59e4e223c6e8dbe0b98e076d47925c2fa007cdc7a7d56482f904e0a7be23</x:v>
      </x:c>
      <x:c r="O188" s="54" t="str">
        <x:v>packages/astro-knowledge/data/transits/venus-conjunction-jupiter.json</x:v>
      </x:c>
    </x:row>
    <x:row r="189" ht="90" customHeight="1">
      <x:c r="A189" s="54" t="n">
        <x:v>187</x:v>
      </x:c>
      <x:c r="B189" s="54" t="str">
        <x:v>sky.venus.opposition.jupiter</x:v>
      </x:c>
      <x:c r="C189" s="54" t="str">
        <x:v>A hard contact. Love, money, and pleasure works against growth, fortune, and patronage - obstruction, friction, and strained outcomes in these areas. Two benefics: among the easiest contacts, though it can incline to excess.</x:v>
      </x:c>
      <x:c r="D189" s="54" t="str">
        <x:v>Pleasure meets expansion. Gentleness, generosity, sensitivity, and a great deal of ease. Psychologically the opposition is inner tension to integrate: Play-before-work and indulgence undercut accomplishment. The growth is owning both sides instead of splitting them.</x:v>
      </x:c>
      <x:c r="E189" s="54" t="str">
        <x:v>Full (culmination)</x:v>
      </x:c>
      <x:c r="F189" s="54" t="str"/>
      <x:c r="G189" s="54" t="str"/>
      <x:c r="H189" s="54" t="str">
        <x:v>Friction in this area. Likable and fortunate; the missing ingredient is discipline.</x:v>
      </x:c>
      <x:c r="I189" s="54" t="str">
        <x:v>Indulgence and vanity collides with excess and overreach; forcing or splitting it instead of working it through.</x:v>
      </x:c>
      <x:c r="J189" s="54" t="str">
        <x:v>A confrontation builds; the other side comes fully into view.</x:v>
      </x:c>
      <x:c r="K189" s="54" t="str">
        <x:v>The standoff resolves into balance or a split.</x:v>
      </x:c>
      <x:c r="L189" s="54" t="str">
        <x:v>Pleasure meets expansion. Gentleness, generosity, sensitivity, and a great deal of ease. Psychologically the opposition is inner tension to integrate: Play-before-work and indulgence undercut accomplishment. The growth is owning both sides instead of splitting them.</x:v>
      </x:c>
      <x:c r="M189" s="54" t="str">
        <x:v>{
  "traditional": "classical and traditional sources",
  "modern": "modern aspect cookbook (psychological / popular register)",
  "cyclic": "humanistic / process-oriented source (cyclic model)"
}</x:v>
      </x:c>
      <x:c r="N189" s="54" t="str">
        <x:v>ed8aa9a8d4b6b8ae9f7ecb4c435888453d6af948dede6f5a7703c91ed264d3f0</x:v>
      </x:c>
      <x:c r="O189" s="54" t="str">
        <x:v>packages/astro-knowledge/data/transits/venus-opposition-jupiter.json</x:v>
      </x:c>
    </x:row>
    <x:row r="190" ht="90" customHeight="1">
      <x:c r="A190" s="54" t="n">
        <x:v>188</x:v>
      </x:c>
      <x:c r="B190" s="54" t="str">
        <x:v>sky.venus.square.jupiter</x:v>
      </x:c>
      <x:c r="C190" s="54" t="str">
        <x:v>A hard contact. Love, money, and pleasure works against growth, fortune, and patronage - obstruction, friction, and strained outcomes in these areas. Two benefics: among the easiest contacts, though it can incline to excess.</x:v>
      </x:c>
      <x:c r="D190" s="54" t="str">
        <x:v>Pleasure meets expansion. Gentleness, generosity, sensitivity, and a great deal of ease. Psychologically the square is inner tension to integrate: Play-before-work and indulgence undercut accomplishment. The growth is owning both sides instead of splitting them.</x:v>
      </x:c>
      <x:c r="E190" s="54" t="str">
        <x:v>First / Last Quarter</x:v>
      </x:c>
      <x:c r="F190" s="54" t="str">
        <x:v>Crisis of action: take conscious hold and build a durable form for connection against growth, or be thrown off course.</x:v>
      </x:c>
      <x:c r="G190" s="54" t="str">
        <x:v>Crisis of meaning: break down the connection/growth form that has outlived its purpose and reorient toward the next cycle.</x:v>
      </x:c>
      <x:c r="H190" s="54" t="str">
        <x:v>Friction in this area. Likable and fortunate; the missing ingredient is discipline.</x:v>
      </x:c>
      <x:c r="I190" s="54" t="str">
        <x:v>Indulgence and vanity collides with excess and overreach; forcing or splitting it instead of working it through.</x:v>
      </x:c>
      <x:c r="J190" s="54" t="str">
        <x:v>Friction builds toward a forced adjustment.</x:v>
      </x:c>
      <x:c r="K190" s="54" t="str">
        <x:v>The crisis passes; what was restructured settles.</x:v>
      </x:c>
      <x:c r="L190" s="54" t="str">
        <x:v>Pleasure meets expansion. Gentleness, generosity, sensitivity, and a great deal of ease. Psychologically the square is inner tension to integrate: Play-before-work and indulgence undercut accomplishment. The growth is owning both sides instead of splitting them.</x:v>
      </x:c>
      <x:c r="M190" s="54" t="str">
        <x:v>{
  "traditional": "classical and traditional sources",
  "modern": "modern aspect cookbook (psychological / popular register)",
  "cyclic": "humanistic / process-oriented source (cyclic model)"
}</x:v>
      </x:c>
      <x:c r="N190" s="54" t="str">
        <x:v>442ca7d4c004efcb9a7ea92259941bac1cbce0f586770b90628d89c9cdd457ad</x:v>
      </x:c>
      <x:c r="O190" s="54" t="str">
        <x:v>packages/astro-knowledge/data/transits/venus-square-jupiter.json</x:v>
      </x:c>
    </x:row>
    <x:row r="191" ht="90" customHeight="1">
      <x:c r="A191" s="54" t="n">
        <x:v>189</x:v>
      </x:c>
      <x:c r="B191" s="54" t="str">
        <x:v>sky.venus.trine.jupiter</x:v>
      </x:c>
      <x:c r="C191" s="54" t="str">
        <x:v>A soft contact. Love, money, and pleasure supports growth, fortune, and patronage - cooperation and favorable conditions in these areas. Two benefics: among the easiest contacts, though it can incline to excess.</x:v>
      </x:c>
      <x:c r="D191" s="54" t="str">
        <x:v>Pleasure meets expansion. Gentleness, generosity, sensitivity, and a great deal of ease. The trine makes this a natural strength: Warmth, goodwill, and good fortune in what you value. The growth edge is not to coast on the ease.</x:v>
      </x:c>
      <x:c r="E191" s="54" t="str">
        <x:v>Waxing / waning trine</x:v>
      </x:c>
      <x:c r="F191" s="54" t="str">
        <x:v>Connection and growth flow together with ease; respond to the opportunity.</x:v>
      </x:c>
      <x:c r="G191" s="54" t="str">
        <x:v>Distribute and give transmissible form to what connection and growth have realized.</x:v>
      </x:c>
      <x:c r="H191" s="54" t="str">
        <x:v>An opening in this area. Likable and fortunate; the missing ingredient is discipline.</x:v>
      </x:c>
      <x:c r="I191" s="54" t="str">
        <x:v>The ease lets indulgence and vanity and excess and overreach go unchecked, or the opening pass unused.</x:v>
      </x:c>
      <x:c r="J191" s="54" t="str">
        <x:v>Ease and support build and arrive on their own.</x:v>
      </x:c>
      <x:c r="K191" s="54" t="str">
        <x:v>The ease withdraws; the flow passes, used or not.</x:v>
      </x:c>
      <x:c r="L191" s="54" t="str">
        <x:v>Pleasure meets expansion. Gentleness, generosity, sensitivity, and a great deal of ease. The trine makes this a natural strength: Warmth, goodwill, and good fortune in what you value. The growth edge is not to coast on the ease.</x:v>
      </x:c>
      <x:c r="M191" s="54" t="str">
        <x:v>{
  "traditional": "classical and traditional sources",
  "modern": "modern aspect cookbook (psychological / popular register)",
  "cyclic": "humanistic / process-oriented source (cyclic model)"
}</x:v>
      </x:c>
      <x:c r="N191" s="54" t="str">
        <x:v>dee351d201b4ed438b897fad54c71351c2f49311c2147514f7c5653e621122c3</x:v>
      </x:c>
      <x:c r="O191" s="54" t="str">
        <x:v>packages/astro-knowledge/data/transits/venus-trine-jupiter.json</x:v>
      </x:c>
    </x:row>
    <x:row r="192" ht="90" customHeight="1">
      <x:c r="A192" s="54" t="n">
        <x:v>190</x:v>
      </x:c>
      <x:c r="B192" s="54" t="str">
        <x:v>sky.venus.sextile.jupiter</x:v>
      </x:c>
      <x:c r="C192" s="54" t="str">
        <x:v>A soft contact. Love, money, and pleasure supports growth, fortune, and patronage - cooperation and favorable conditions in these areas. Two benefics: among the easiest contacts, though it can incline to excess.</x:v>
      </x:c>
      <x:c r="D192" s="54" t="str">
        <x:v>Pleasure meets expansion. Gentleness, generosity, sensitivity, and a great deal of ease. The sextile makes this a natural strength: Warmth, goodwill, and good fortune in what you value. The growth edge is not to coast on the ease.</x:v>
      </x:c>
      <x:c r="E192" s="54" t="str">
        <x:v>Waxing / waning sextile</x:v>
      </x:c>
      <x:c r="F192" s="54" t="str">
        <x:v>A chance to organize connection and growth into a new form; it must be actively taken up.</x:v>
      </x:c>
      <x:c r="G192" s="54" t="str">
        <x:v>Reorganize and share what connection and growth have taught; communicate the insight.</x:v>
      </x:c>
      <x:c r="H192" s="54" t="str">
        <x:v>An opening in this area. Likable and fortunate; the missing ingredient is discipline.</x:v>
      </x:c>
      <x:c r="I192" s="54" t="str">
        <x:v>The ease lets indulgence and vanity and excess and overreach go unchecked, or the opening pass unused.</x:v>
      </x:c>
      <x:c r="J192" s="54" t="str">
        <x:v>A supportive opening becomes available; offered, not automatic.</x:v>
      </x:c>
      <x:c r="K192" s="54" t="str">
        <x:v>The opening closes; unused, it passes.</x:v>
      </x:c>
      <x:c r="L192" s="54" t="str">
        <x:v>Pleasure meets expansion. Gentleness, generosity, sensitivity, and a great deal of ease. The sextile makes this a natural strength: Warmth, goodwill, and good fortune in what you value. The growth edge is not to coast on the ease.</x:v>
      </x:c>
      <x:c r="M192" s="54" t="str">
        <x:v>{
  "traditional": "classical and traditional sources",
  "modern": "modern aspect cookbook (psychological / popular register)",
  "cyclic": "humanistic / process-oriented source (cyclic model)"
}</x:v>
      </x:c>
      <x:c r="N192" s="54" t="str">
        <x:v>066ceff4a3a4787fb8c03c25bda18ed14730c86661d0320b7605b02876d61c9d</x:v>
      </x:c>
      <x:c r="O192" s="54" t="str">
        <x:v>packages/astro-knowledge/data/transits/venus-sextile-jupiter.json</x:v>
      </x:c>
    </x:row>
    <x:row r="193" ht="90" customHeight="1">
      <x:c r="A193" s="54" t="n">
        <x:v>191</x:v>
      </x:c>
      <x:c r="B193" s="54" t="str">
        <x:v>sky.venus.conjunction.mars</x:v>
      </x:c>
      <x:c r="C193" s="54" t="str">
        <x:v>Love, money, and pleasure fused with action, conflict, and heat. The two act as one and the combined significations are hard to separate. The benefic Venus tempers the malefic Mars.</x:v>
      </x:c>
      <x:c r="D193" s="54" t="str">
        <x:v>Attraction meets drive. Desire, and the channeling of energy into pleasure, art, or pursuit. The conjunction can either fuse charm and drive or have the two cancel out. Fused, these drives are difficult to separate and ask to be consciously integrated rather than acted out blindly.</x:v>
      </x:c>
      <x:c r="E193" s="54" t="str">
        <x:v>New (seed)</x:v>
      </x:c>
      <x:c r="F193" s="54" t="str"/>
      <x:c r="G193" s="54" t="str"/>
      <x:c r="H193" s="54" t="str">
        <x:v>Concentrated focus in this area. Charm plus initiative; manage the push-pull between attraction and aggression.</x:v>
      </x:c>
      <x:c r="I193" s="54" t="str">
        <x:v>Indulgence and vanity fused with anger and recklessness, with no distance to tell them apart.</x:v>
      </x:c>
      <x:c r="J193" s="54" t="str">
        <x:v>The two fuse and intensify as they close in.</x:v>
      </x:c>
      <x:c r="K193" s="54" t="str">
        <x:v>The fused theme peaks and discharges.</x:v>
      </x:c>
      <x:c r="L193" s="54" t="str">
        <x:v>Attraction meets drive. Desire, and the channeling of energy into pleasure, art, or pursuit. The conjunction can either fuse charm and drive or have the two cancel out. Fused, these drives are difficult to separate and ask to be consciously integrated rather than acted out blindly.</x:v>
      </x:c>
      <x:c r="M193" s="54" t="str">
        <x:v>{
  "traditional": "classical and traditional sources",
  "modern": "modern aspect cookbook (psychological / popular register)",
  "cyclic": "humanistic / process-oriented source (cyclic model)"
}</x:v>
      </x:c>
      <x:c r="N193" s="54" t="str">
        <x:v>361677042c49d09e20182e45de46710a5884a3e9eca4780268bd786bbfe3c63a</x:v>
      </x:c>
      <x:c r="O193" s="54" t="str">
        <x:v>packages/astro-knowledge/data/transits/venus-conjunction-mars.json</x:v>
      </x:c>
    </x:row>
    <x:row r="194" ht="90" customHeight="1">
      <x:c r="A194" s="54" t="n">
        <x:v>192</x:v>
      </x:c>
      <x:c r="B194" s="54" t="str">
        <x:v>sky.venus.opposition.mars</x:v>
      </x:c>
      <x:c r="C194" s="54" t="str">
        <x:v>A hard contact. Love, money, and pleasure works against action, conflict, and heat - obstruction, friction, and strained outcomes in these areas. The benefic Venus tempers the malefic Mars.</x:v>
      </x:c>
      <x:c r="D194" s="54" t="str">
        <x:v>Attraction meets drive. Desire, and the channeling of energy into pleasure, art, or pursuit. The conjunction can either fuse charm and drive or have the two cancel out. Psychologically the opposition is inner tension to integrate: Bad timing in romance, indecision, and friction between wanting and acting. The growth is owning both sides instead of splitting them.</x:v>
      </x:c>
      <x:c r="E194" s="54" t="str">
        <x:v>Full (culmination)</x:v>
      </x:c>
      <x:c r="F194" s="54" t="str"/>
      <x:c r="G194" s="54" t="str"/>
      <x:c r="H194" s="54" t="str">
        <x:v>Friction in this area. Charm plus initiative; manage the push-pull between attraction and aggression.</x:v>
      </x:c>
      <x:c r="I194" s="54" t="str">
        <x:v>Indulgence and vanity collides with anger and recklessness; forcing or splitting it instead of working it through.</x:v>
      </x:c>
      <x:c r="J194" s="54" t="str">
        <x:v>A confrontation builds; the other side comes fully into view.</x:v>
      </x:c>
      <x:c r="K194" s="54" t="str">
        <x:v>The standoff resolves into balance or a split.</x:v>
      </x:c>
      <x:c r="L194" s="54" t="str">
        <x:v>Attraction meets drive. Desire, and the channeling of energy into pleasure, art, or pursuit. The conjunction can either fuse charm and drive or have the two cancel out. Psychologically the opposition is inner tension to integrate: Bad timing in romance, indecision, and friction between wanting and acting. The growth is owning both sides instead of splitting them.</x:v>
      </x:c>
      <x:c r="M194" s="54" t="str">
        <x:v>{
  "traditional": "classical and traditional sources",
  "modern": "modern aspect cookbook (psychological / popular register)",
  "cyclic": "humanistic / process-oriented source (cyclic model)"
}</x:v>
      </x:c>
      <x:c r="N194" s="54" t="str">
        <x:v>258a877c96fd38efa4d3e92bf33d1807eecdc00fb52224ce79b2a5a0fc25671a</x:v>
      </x:c>
      <x:c r="O194" s="54" t="str">
        <x:v>packages/astro-knowledge/data/transits/venus-opposition-mars.json</x:v>
      </x:c>
    </x:row>
    <x:row r="195" ht="90" customHeight="1">
      <x:c r="A195" s="54" t="n">
        <x:v>193</x:v>
      </x:c>
      <x:c r="B195" s="54" t="str">
        <x:v>sky.venus.square.mars</x:v>
      </x:c>
      <x:c r="C195" s="54" t="str">
        <x:v>A hard contact. Love, money, and pleasure works against action, conflict, and heat - obstruction, friction, and strained outcomes in these areas. The benefic Venus tempers the malefic Mars.</x:v>
      </x:c>
      <x:c r="D195" s="54" t="str">
        <x:v>Attraction meets drive. Desire, and the channeling of energy into pleasure, art, or pursuit. The conjunction can either fuse charm and drive or have the two cancel out. Psychologically the square is inner tension to integrate: Bad timing in romance, indecision, and friction between wanting and acting. The growth is owning both sides instead of splitting them.</x:v>
      </x:c>
      <x:c r="E195" s="54" t="str">
        <x:v>First / Last Quarter</x:v>
      </x:c>
      <x:c r="F195" s="54" t="str">
        <x:v>Crisis of action: take conscious hold and build a durable form for connection against drive, or be thrown off course.</x:v>
      </x:c>
      <x:c r="G195" s="54" t="str">
        <x:v>Crisis of meaning: break down the connection/drive form that has outlived its purpose and reorient toward the next cycle.</x:v>
      </x:c>
      <x:c r="H195" s="54" t="str">
        <x:v>Friction in this area. Charm plus initiative; manage the push-pull between attraction and aggression.</x:v>
      </x:c>
      <x:c r="I195" s="54" t="str">
        <x:v>Indulgence and vanity collides with anger and recklessness; forcing or splitting it instead of working it through.</x:v>
      </x:c>
      <x:c r="J195" s="54" t="str">
        <x:v>Friction builds toward a forced adjustment.</x:v>
      </x:c>
      <x:c r="K195" s="54" t="str">
        <x:v>The crisis passes; what was restructured settles.</x:v>
      </x:c>
      <x:c r="L195" s="54" t="str">
        <x:v>Attraction meets drive. Desire, and the channeling of energy into pleasure, art, or pursuit. The conjunction can either fuse charm and drive or have the two cancel out. Psychologically the square is inner tension to integrate: Bad timing in romance, indecision, and friction between wanting and acting. The growth is owning both sides instead of splitting them.</x:v>
      </x:c>
      <x:c r="M195" s="54" t="str">
        <x:v>{
  "traditional": "classical and traditional sources",
  "modern": "modern aspect cookbook (psychological / popular register)",
  "cyclic": "humanistic / process-oriented source (cyclic model)"
}</x:v>
      </x:c>
      <x:c r="N195" s="54" t="str">
        <x:v>02a7b97005389fc6bbbc9d7b72c326a9ecf60272789792d8244f94effed1636f</x:v>
      </x:c>
      <x:c r="O195" s="54" t="str">
        <x:v>packages/astro-knowledge/data/transits/venus-square-mars.json</x:v>
      </x:c>
    </x:row>
    <x:row r="196" ht="90" customHeight="1">
      <x:c r="A196" s="54" t="n">
        <x:v>194</x:v>
      </x:c>
      <x:c r="B196" s="54" t="str">
        <x:v>sky.venus.trine.mars</x:v>
      </x:c>
      <x:c r="C196" s="54" t="str">
        <x:v>A soft contact. Love, money, and pleasure supports action, conflict, and heat - cooperation and favorable conditions in these areas. The benefic Venus tempers the malefic Mars.</x:v>
      </x:c>
      <x:c r="D196" s="54" t="str">
        <x:v>Attraction meets drive. Desire, and the channeling of energy into pleasure, art, or pursuit. The conjunction can either fuse charm and drive or have the two cancel out. The trine makes this a natural strength: Popularity and energy that flows easily into creative or romantic pursuits. The growth edge is not to coast on the ease.</x:v>
      </x:c>
      <x:c r="E196" s="54" t="str">
        <x:v>Waxing / waning trine</x:v>
      </x:c>
      <x:c r="F196" s="54" t="str">
        <x:v>Connection and drive flow together with ease; respond to the opportunity.</x:v>
      </x:c>
      <x:c r="G196" s="54" t="str">
        <x:v>Distribute and give transmissible form to what connection and drive have realized.</x:v>
      </x:c>
      <x:c r="H196" s="54" t="str">
        <x:v>An opening in this area. Charm plus initiative; manage the push-pull between attraction and aggression.</x:v>
      </x:c>
      <x:c r="I196" s="54" t="str">
        <x:v>The ease lets indulgence and vanity and anger and recklessness go unchecked, or the opening pass unused.</x:v>
      </x:c>
      <x:c r="J196" s="54" t="str">
        <x:v>Ease and support build and arrive on their own.</x:v>
      </x:c>
      <x:c r="K196" s="54" t="str">
        <x:v>The ease withdraws; the flow passes, used or not.</x:v>
      </x:c>
      <x:c r="L196" s="54" t="str">
        <x:v>Attraction meets drive. Desire, and the channeling of energy into pleasure, art, or pursuit. The conjunction can either fuse charm and drive or have the two cancel out. The trine makes this a natural strength: Popularity and energy that flows easily into creative or romantic pursuits. The growth edge is not to coast on the ease.</x:v>
      </x:c>
      <x:c r="M196" s="54" t="str">
        <x:v>{
  "traditional": "classical and traditional sources",
  "modern": "modern aspect cookbook (psychological / popular register)",
  "cyclic": "humanistic / process-oriented source (cyclic model)"
}</x:v>
      </x:c>
      <x:c r="N196" s="54" t="str">
        <x:v>cfa8c8f92d670c518d7048005ea313d4566fe5e484a30571de0c1272e32b68d9</x:v>
      </x:c>
      <x:c r="O196" s="54" t="str">
        <x:v>packages/astro-knowledge/data/transits/venus-trine-mars.json</x:v>
      </x:c>
    </x:row>
    <x:row r="197" ht="90" customHeight="1">
      <x:c r="A197" s="54" t="n">
        <x:v>195</x:v>
      </x:c>
      <x:c r="B197" s="54" t="str">
        <x:v>sky.venus.sextile.mars</x:v>
      </x:c>
      <x:c r="C197" s="54" t="str">
        <x:v>A soft contact. Love, money, and pleasure supports action, conflict, and heat - cooperation and favorable conditions in these areas. The benefic Venus tempers the malefic Mars.</x:v>
      </x:c>
      <x:c r="D197" s="54" t="str">
        <x:v>Attraction meets drive. Desire, and the channeling of energy into pleasure, art, or pursuit. The conjunction can either fuse charm and drive or have the two cancel out. The sextile makes this a natural strength: Popularity and energy that flows easily into creative or romantic pursuits. The growth edge is not to coast on the ease.</x:v>
      </x:c>
      <x:c r="E197" s="54" t="str">
        <x:v>Waxing / waning sextile</x:v>
      </x:c>
      <x:c r="F197" s="54" t="str">
        <x:v>A chance to organize connection and drive into a new form; it must be actively taken up.</x:v>
      </x:c>
      <x:c r="G197" s="54" t="str">
        <x:v>Reorganize and share what connection and drive have taught; communicate the insight.</x:v>
      </x:c>
      <x:c r="H197" s="54" t="str">
        <x:v>An opening in this area. Charm plus initiative; manage the push-pull between attraction and aggression.</x:v>
      </x:c>
      <x:c r="I197" s="54" t="str">
        <x:v>The ease lets indulgence and vanity and anger and recklessness go unchecked, or the opening pass unused.</x:v>
      </x:c>
      <x:c r="J197" s="54" t="str">
        <x:v>A supportive opening becomes available; offered, not automatic.</x:v>
      </x:c>
      <x:c r="K197" s="54" t="str">
        <x:v>The opening closes; unused, it passes.</x:v>
      </x:c>
      <x:c r="L197" s="54" t="str">
        <x:v>Attraction meets drive. Desire, and the channeling of energy into pleasure, art, or pursuit. The conjunction can either fuse charm and drive or have the two cancel out. The sextile makes this a natural strength: Popularity and energy that flows easily into creative or romantic pursuits. The growth edge is not to coast on the ease.</x:v>
      </x:c>
      <x:c r="M197" s="54" t="str">
        <x:v>{
  "traditional": "classical and traditional sources",
  "modern": "modern aspect cookbook (psychological / popular register)",
  "cyclic": "humanistic / process-oriented source (cyclic model)"
}</x:v>
      </x:c>
      <x:c r="N197" s="54" t="str">
        <x:v>b752682898661f1ad7ebfa63870b9812ecf9a217c9dce47d9f5eb6424c015618</x:v>
      </x:c>
      <x:c r="O197" s="54" t="str">
        <x:v>packages/astro-knowledge/data/transits/venus-sextile-mars.json</x:v>
      </x:c>
    </x:row>
    <x:row r="198" ht="90" customHeight="1">
      <x:c r="A198" s="54" t="n">
        <x:v>196</x:v>
      </x:c>
      <x:c r="B198" s="54" t="str">
        <x:v>sky.venus.conjunction.neptune</x:v>
      </x:c>
      <x:c r="C198" s="54" t="str">
        <x:v>No classical doctrine: Neptune is a modern planet unknown to traditional astrology. Read from the modern and cyclic layers; treat this contact as a slow, generational background tone.</x:v>
      </x:c>
      <x:c r="D198" s="54" t="str">
        <x:v>Love and value meet imagination. Heightened artistic sensibility and romantic idealism. Fused, these drives are difficult to separate and ask to be consciously integrated rather than acted out blindly.</x:v>
      </x:c>
      <x:c r="E198" s="54" t="str">
        <x:v>New (seed)</x:v>
      </x:c>
      <x:c r="F198" s="54" t="str"/>
      <x:c r="G198" s="54" t="str"/>
      <x:c r="H198" s="54" t="str">
        <x:v>Concentrated focus in this area. Real artistic gifts; guard against unrealistic expectations of people and outcomes.</x:v>
      </x:c>
      <x:c r="I198" s="54" t="str">
        <x:v>Indulgence and vanity fused with illusion and escapism, with no distance to tell them apart.</x:v>
      </x:c>
      <x:c r="J198" s="54" t="str">
        <x:v>The two fuse and intensify as they close in.</x:v>
      </x:c>
      <x:c r="K198" s="54" t="str">
        <x:v>The fused theme peaks and discharges.</x:v>
      </x:c>
      <x:c r="L198" s="54" t="str">
        <x:v>Love and value meet imagination. Heightened artistic sensibility and romantic idealism. Fused, these drives are difficult to separate and ask to be consciously integrated rather than acted out blindly.</x:v>
      </x:c>
      <x:c r="M198" s="54" t="str">
        <x:v>{
  "traditional": "classical and traditional sources",
  "modern": "modern aspect cookbook (psychological / popular register)",
  "cyclic": "humanistic / process-oriented source (cyclic model)"
}</x:v>
      </x:c>
      <x:c r="N198" s="54" t="str">
        <x:v>290595b10adf80e5f71698ec585fcdd818a0e36569db37068953958e8ec357e7</x:v>
      </x:c>
      <x:c r="O198" s="54" t="str">
        <x:v>packages/astro-knowledge/data/transits/venus-conjunction-neptune.json</x:v>
      </x:c>
    </x:row>
    <x:row r="199" ht="90" customHeight="1">
      <x:c r="A199" s="54" t="n">
        <x:v>197</x:v>
      </x:c>
      <x:c r="B199" s="54" t="str">
        <x:v>sky.venus.opposition.neptune</x:v>
      </x:c>
      <x:c r="C199" s="54" t="str">
        <x:v>No classical doctrine: Neptune is a modern planet unknown to traditional astrology. Read from the modern and cyclic layers; treat this contact as a slow, generational background tone.</x:v>
      </x:c>
      <x:c r="D199" s="54" t="str">
        <x:v>Love and value meet imagination. Heightened artistic sensibility and romantic idealism. Psychologically the opposition is inner tension to integrate: Seeing what you want to see in love, idealizing people, and the disillusionment that follows. The growth is owning both sides instead of splitting them.</x:v>
      </x:c>
      <x:c r="E199" s="54" t="str">
        <x:v>Full (culmination)</x:v>
      </x:c>
      <x:c r="F199" s="54" t="str"/>
      <x:c r="G199" s="54" t="str"/>
      <x:c r="H199" s="54" t="str">
        <x:v>Friction in this area. Real artistic gifts; guard against unrealistic expectations of people and outcomes.</x:v>
      </x:c>
      <x:c r="I199" s="54" t="str">
        <x:v>Indulgence and vanity collides with illusion and escapism; forcing or splitting it instead of working it through.</x:v>
      </x:c>
      <x:c r="J199" s="54" t="str">
        <x:v>A confrontation builds; the other side comes fully into view.</x:v>
      </x:c>
      <x:c r="K199" s="54" t="str">
        <x:v>The standoff resolves into balance or a split.</x:v>
      </x:c>
      <x:c r="L199" s="54" t="str">
        <x:v>Love and value meet imagination. Heightened artistic sensibility and romantic idealism. Psychologically the opposition is inner tension to integrate: Seeing what you want to see in love, idealizing people, and the disillusionment that follows. The growth is owning both sides instead of splitting them.</x:v>
      </x:c>
      <x:c r="M199" s="54" t="str">
        <x:v>{
  "traditional": "classical and traditional sources",
  "modern": "modern aspect cookbook (psychological / popular register)",
  "cyclic": "humanistic / process-oriented source (cyclic model)"
}</x:v>
      </x:c>
      <x:c r="N199" s="54" t="str">
        <x:v>cae01af598caf6218419eee8f3bfb2f73b37aece001a02deda17c12904c59280</x:v>
      </x:c>
      <x:c r="O199" s="54" t="str">
        <x:v>packages/astro-knowledge/data/transits/venus-opposition-neptune.json</x:v>
      </x:c>
    </x:row>
    <x:row r="200" ht="90" customHeight="1">
      <x:c r="A200" s="54" t="n">
        <x:v>198</x:v>
      </x:c>
      <x:c r="B200" s="54" t="str">
        <x:v>sky.venus.square.neptune</x:v>
      </x:c>
      <x:c r="C200" s="54" t="str">
        <x:v>No classical doctrine: Neptune is a modern planet unknown to traditional astrology. Read from the modern and cyclic layers; treat this contact as a slow, generational background tone.</x:v>
      </x:c>
      <x:c r="D200" s="54" t="str">
        <x:v>Love and value meet imagination. Heightened artistic sensibility and romantic idealism. Psychologically the square is inner tension to integrate: Seeing what you want to see in love, idealizing others, and the disillusionment that follows. The growth is owning both sides instead of splitting them.</x:v>
      </x:c>
      <x:c r="E200" s="54" t="str">
        <x:v>First / Last Quarter</x:v>
      </x:c>
      <x:c r="F200" s="54" t="str">
        <x:v>Crisis of action: take conscious hold and build a durable form for connection against imagination, or be thrown off course.</x:v>
      </x:c>
      <x:c r="G200" s="54" t="str">
        <x:v>Crisis of meaning: break down the connection/imagination form that has outlived its purpose and reorient toward the next cycle.</x:v>
      </x:c>
      <x:c r="H200" s="54" t="str">
        <x:v>Friction in this area. Real artistic gifts; guard against unrealistic expectations of people and outcomes.</x:v>
      </x:c>
      <x:c r="I200" s="54" t="str">
        <x:v>Indulgence and vanity collides with illusion and escapism; forcing or splitting it instead of working it through.</x:v>
      </x:c>
      <x:c r="J200" s="54" t="str">
        <x:v>Friction builds toward a forced adjustment.</x:v>
      </x:c>
      <x:c r="K200" s="54" t="str">
        <x:v>The crisis passes; what was restructured settles.</x:v>
      </x:c>
      <x:c r="L200" s="54" t="str">
        <x:v>Love and value meet imagination. Heightened artistic sensibility and romantic idealism. Psychologically the square is inner tension to integrate: Seeing what you want to see in love, idealizing others, and the disillusionment that follows. The growth is owning both sides instead of splitting them.</x:v>
      </x:c>
      <x:c r="M200" s="54" t="str">
        <x:v>{
  "traditional": "classical and traditional sources",
  "modern": "modern aspect cookbook (psychological / popular register)",
  "cyclic": "humanistic / process-oriented source (cyclic model)"
}</x:v>
      </x:c>
      <x:c r="N200" s="54" t="str">
        <x:v>4e47c6682ec4ce49a7e4d043068dded9716d10518475a934fd6eb5c1a26a8401</x:v>
      </x:c>
      <x:c r="O200" s="54" t="str">
        <x:v>packages/astro-knowledge/data/transits/venus-square-neptune.json</x:v>
      </x:c>
    </x:row>
    <x:row r="201" ht="90" customHeight="1">
      <x:c r="A201" s="54" t="n">
        <x:v>199</x:v>
      </x:c>
      <x:c r="B201" s="54" t="str">
        <x:v>sky.venus.trine.neptune</x:v>
      </x:c>
      <x:c r="C201" s="54" t="str">
        <x:v>No classical doctrine: Neptune is a modern planet unknown to traditional astrology. Read from the modern and cyclic layers; treat this contact as a slow, generational background tone.</x:v>
      </x:c>
      <x:c r="D201" s="54" t="str">
        <x:v>Love and value meet imagination. Heightened artistic sensibility and romantic idealism. The trine makes this a natural strength: Refined aesthetic and tender, imaginative affection. The growth edge is not to coast on the ease.</x:v>
      </x:c>
      <x:c r="E201" s="54" t="str">
        <x:v>Waxing / waning trine</x:v>
      </x:c>
      <x:c r="F201" s="54" t="str">
        <x:v>Connection and imagination flow together with ease; respond to the opportunity.</x:v>
      </x:c>
      <x:c r="G201" s="54" t="str">
        <x:v>Distribute and give transmissible form to what connection and imagination have realized.</x:v>
      </x:c>
      <x:c r="H201" s="54" t="str">
        <x:v>An opening in this area. Real artistic gifts; guard against unrealistic expectations of people and outcomes.</x:v>
      </x:c>
      <x:c r="I201" s="54" t="str">
        <x:v>The ease lets indulgence and vanity and illusion and escapism go unchecked, or the opening pass unused.</x:v>
      </x:c>
      <x:c r="J201" s="54" t="str">
        <x:v>Ease and support build and arrive on their own.</x:v>
      </x:c>
      <x:c r="K201" s="54" t="str">
        <x:v>The ease withdraws; the flow passes, used or not.</x:v>
      </x:c>
      <x:c r="L201" s="54" t="str">
        <x:v>Love and value meet imagination. Heightened artistic sensibility and romantic idealism. The trine makes this a natural strength: Refined aesthetic and tender, imaginative affection. The growth edge is not to coast on the ease.</x:v>
      </x:c>
      <x:c r="M201" s="54" t="str">
        <x:v>{
  "traditional": "classical and traditional sources",
  "modern": "modern aspect cookbook (psychological / popular register)",
  "cyclic": "humanistic / process-oriented source (cyclic model)"
}</x:v>
      </x:c>
      <x:c r="N201" s="54" t="str">
        <x:v>c96e1a40fb74a14a03e3fdfcbbd4b0c6070733d580a8e1577f2f853770147344</x:v>
      </x:c>
      <x:c r="O201" s="54" t="str">
        <x:v>packages/astro-knowledge/data/transits/venus-trine-neptune.json</x:v>
      </x:c>
    </x:row>
    <x:row r="202" ht="90" customHeight="1">
      <x:c r="A202" s="54" t="n">
        <x:v>200</x:v>
      </x:c>
      <x:c r="B202" s="54" t="str">
        <x:v>sky.venus.sextile.neptune</x:v>
      </x:c>
      <x:c r="C202" s="54" t="str">
        <x:v>No classical doctrine: Neptune is a modern planet unknown to traditional astrology. Read from the modern and cyclic layers; treat this contact as a slow, generational background tone.</x:v>
      </x:c>
      <x:c r="D202" s="54" t="str">
        <x:v>Love and value meet imagination. Heightened artistic sensibility and romantic idealism. The sextile makes this a natural strength: Refined aesthetic and tender, imaginative affection. The growth edge is not to coast on the ease.</x:v>
      </x:c>
      <x:c r="E202" s="54" t="str">
        <x:v>Waxing / waning sextile</x:v>
      </x:c>
      <x:c r="F202" s="54" t="str">
        <x:v>A chance to organize connection and imagination into a new form; it must be actively taken up.</x:v>
      </x:c>
      <x:c r="G202" s="54" t="str">
        <x:v>Reorganize and share what connection and imagination have taught; communicate the insight.</x:v>
      </x:c>
      <x:c r="H202" s="54" t="str">
        <x:v>An opening in this area. Real artistic gifts; guard against unrealistic expectations of people and outcomes.</x:v>
      </x:c>
      <x:c r="I202" s="54" t="str">
        <x:v>The ease lets indulgence and vanity and illusion and escapism go unchecked, or the opening pass unused.</x:v>
      </x:c>
      <x:c r="J202" s="54" t="str">
        <x:v>A supportive opening becomes available; offered, not automatic.</x:v>
      </x:c>
      <x:c r="K202" s="54" t="str">
        <x:v>The opening closes; unused, it passes.</x:v>
      </x:c>
      <x:c r="L202" s="54" t="str">
        <x:v>Love and value meet imagination. Heightened artistic sensibility and romantic idealism. The sextile makes this a natural strength: Refined aesthetic and tender, imaginative affection. The growth edge is not to coast on the ease.</x:v>
      </x:c>
      <x:c r="M202" s="54" t="str">
        <x:v>{
  "traditional": "classical and traditional sources",
  "modern": "modern aspect cookbook (psychological / popular register)",
  "cyclic": "humanistic / process-oriented source (cyclic model)"
}</x:v>
      </x:c>
      <x:c r="N202" s="54" t="str">
        <x:v>c19416a102338af169ef16b0dfbeeac99879d794c5e6097e58729083853b45d5</x:v>
      </x:c>
      <x:c r="O202" s="54" t="str">
        <x:v>packages/astro-knowledge/data/transits/venus-sextile-neptune.json</x:v>
      </x:c>
    </x:row>
    <x:row r="203" ht="90" customHeight="1">
      <x:c r="A203" s="54" t="n">
        <x:v>201</x:v>
      </x:c>
      <x:c r="B203" s="54" t="str">
        <x:v>sky.venus.conjunction.pluto</x:v>
      </x:c>
      <x:c r="C203" s="54" t="str">
        <x:v>No classical doctrine: Pluto is a modern planet unknown to traditional astrology. Read from the modern and cyclic layers; treat this contact as a slow, generational background tone.</x:v>
      </x:c>
      <x:c r="D203" s="54" t="str">
        <x:v>Love and value meet intensity. All-or-nothing attraction, deep desire, and a strong pull toward control in relationships. Fused, these drives are difficult to separate and ask to be consciously integrated rather than acted out blindly.</x:v>
      </x:c>
      <x:c r="E203" s="54" t="str">
        <x:v>New (seed)</x:v>
      </x:c>
      <x:c r="F203" s="54" t="str"/>
      <x:c r="G203" s="54" t="str"/>
      <x:c r="H203" s="54" t="str">
        <x:v>Concentrated focus in this area. Magnetic and persuasive; the intensity has to be moderated.</x:v>
      </x:c>
      <x:c r="I203" s="54" t="str">
        <x:v>Indulgence and vanity fused with control and obsession, with no distance to tell them apart.</x:v>
      </x:c>
      <x:c r="J203" s="54" t="str">
        <x:v>The two fuse and intensify as they close in.</x:v>
      </x:c>
      <x:c r="K203" s="54" t="str">
        <x:v>The fused theme peaks and discharges.</x:v>
      </x:c>
      <x:c r="L203" s="54" t="str">
        <x:v>Love and value meet intensity. All-or-nothing attraction, deep desire, and a strong pull toward control in relationships. Fused, these drives are difficult to separate and ask to be consciously integrated rather than acted out blindly.</x:v>
      </x:c>
      <x:c r="M203" s="54" t="str">
        <x:v>{
  "traditional": "classical and traditional sources",
  "modern": "modern aspect cookbook (psychological / popular register)",
  "cyclic": "humanistic / process-oriented source (cyclic model)"
}</x:v>
      </x:c>
      <x:c r="N203" s="54" t="str">
        <x:v>48734549ce1341a83d22ce1c42d25c6010e2248d9d5146cedd2aa0a003f03eba</x:v>
      </x:c>
      <x:c r="O203" s="54" t="str">
        <x:v>packages/astro-knowledge/data/transits/venus-conjunction-pluto.json</x:v>
      </x:c>
    </x:row>
    <x:row r="204" ht="90" customHeight="1">
      <x:c r="A204" s="54" t="n">
        <x:v>202</x:v>
      </x:c>
      <x:c r="B204" s="54" t="str">
        <x:v>sky.venus.opposition.pluto</x:v>
      </x:c>
      <x:c r="C204" s="54" t="str">
        <x:v>No classical doctrine: Pluto is a modern planet unknown to traditional astrology. Read from the modern and cyclic layers; treat this contact as a slow, generational background tone.</x:v>
      </x:c>
      <x:c r="D204" s="54" t="str">
        <x:v>Love and value meet intensity. All-or-nothing attraction, deep desire, and a strong pull toward control in relationships. Psychologically the opposition is inner tension to integrate: Power struggles, jealousy, and treating happiness as a kind of vulnerability to be guarded against. The growth is owning both sides instead of splitting them.</x:v>
      </x:c>
      <x:c r="E204" s="54" t="str">
        <x:v>Full (culmination)</x:v>
      </x:c>
      <x:c r="F204" s="54" t="str"/>
      <x:c r="G204" s="54" t="str"/>
      <x:c r="H204" s="54" t="str">
        <x:v>Friction in this area. Magnetic and persuasive; the intensity has to be moderated.</x:v>
      </x:c>
      <x:c r="I204" s="54" t="str">
        <x:v>Indulgence and vanity collides with control and obsession; forcing or splitting it instead of working it through.</x:v>
      </x:c>
      <x:c r="J204" s="54" t="str">
        <x:v>A confrontation builds; the other side comes fully into view.</x:v>
      </x:c>
      <x:c r="K204" s="54" t="str">
        <x:v>The standoff resolves into balance or a split.</x:v>
      </x:c>
      <x:c r="L204" s="54" t="str">
        <x:v>Love and value meet intensity. All-or-nothing attraction, deep desire, and a strong pull toward control in relationships. Psychologically the opposition is inner tension to integrate: Power struggles, jealousy, and treating happiness as a kind of vulnerability to be guarded against. The growth is owning both sides instead of splitting them.</x:v>
      </x:c>
      <x:c r="M204" s="54" t="str">
        <x:v>{
  "traditional": "classical and traditional sources",
  "modern": "modern aspect cookbook (psychological / popular register)",
  "cyclic": "humanistic / process-oriented source (cyclic model)"
}</x:v>
      </x:c>
      <x:c r="N204" s="54" t="str">
        <x:v>41e6579610d4643c98cee4b4a2b853d2e8efa3cd279a537ce46f2c336c37604a</x:v>
      </x:c>
      <x:c r="O204" s="54" t="str">
        <x:v>packages/astro-knowledge/data/transits/venus-opposition-pluto.json</x:v>
      </x:c>
    </x:row>
    <x:row r="205" ht="90" customHeight="1">
      <x:c r="A205" s="54" t="n">
        <x:v>203</x:v>
      </x:c>
      <x:c r="B205" s="54" t="str">
        <x:v>sky.venus.square.pluto</x:v>
      </x:c>
      <x:c r="C205" s="54" t="str">
        <x:v>No classical doctrine: Pluto is a modern planet unknown to traditional astrology. Read from the modern and cyclic layers; treat this contact as a slow, generational background tone.</x:v>
      </x:c>
      <x:c r="D205" s="54" t="str">
        <x:v>Love and value meet intensity. All-or-nothing attraction, deep desire, and a strong pull toward control in relationships. Psychologically the square is inner tension to integrate: Power struggles, jealousy, and treating happiness as a kind of vulnerability to be guarded against. The growth is owning both sides instead of splitting them.</x:v>
      </x:c>
      <x:c r="E205" s="54" t="str">
        <x:v>First / Last Quarter</x:v>
      </x:c>
      <x:c r="F205" s="54" t="str">
        <x:v>Crisis of action: take conscious hold and build a durable form for connection against power, or be thrown off course.</x:v>
      </x:c>
      <x:c r="G205" s="54" t="str">
        <x:v>Crisis of meaning: break down the connection/power form that has outlived its purpose and reorient toward the next cycle.</x:v>
      </x:c>
      <x:c r="H205" s="54" t="str">
        <x:v>Friction in this area. Magnetic and persuasive; the intensity has to be moderated.</x:v>
      </x:c>
      <x:c r="I205" s="54" t="str">
        <x:v>Indulgence and vanity collides with control and obsession; forcing or splitting it instead of working it through.</x:v>
      </x:c>
      <x:c r="J205" s="54" t="str">
        <x:v>Friction builds toward a forced adjustment.</x:v>
      </x:c>
      <x:c r="K205" s="54" t="str">
        <x:v>The crisis passes; what was restructured settles.</x:v>
      </x:c>
      <x:c r="L205" s="54" t="str">
        <x:v>Love and value meet intensity. All-or-nothing attraction, deep desire, and a strong pull toward control in relationships. Psychologically the square is inner tension to integrate: Power struggles, jealousy, and treating happiness as a kind of vulnerability to be guarded against. The growth is owning both sides instead of splitting them.</x:v>
      </x:c>
      <x:c r="M205" s="54" t="str">
        <x:v>{
  "traditional": "classical and traditional sources",
  "modern": "modern aspect cookbook (psychological / popular register)",
  "cyclic": "humanistic / process-oriented source (cyclic model)"
}</x:v>
      </x:c>
      <x:c r="N205" s="54" t="str">
        <x:v>bd0e63c96cb0a143cebeb25ca5ede78979b4de8a50b0ea7260c4ebc37b8272de</x:v>
      </x:c>
      <x:c r="O205" s="54" t="str">
        <x:v>packages/astro-knowledge/data/transits/venus-square-pluto.json</x:v>
      </x:c>
    </x:row>
    <x:row r="206" ht="90" customHeight="1">
      <x:c r="A206" s="54" t="n">
        <x:v>204</x:v>
      </x:c>
      <x:c r="B206" s="54" t="str">
        <x:v>sky.venus.trine.pluto</x:v>
      </x:c>
      <x:c r="C206" s="54" t="str">
        <x:v>No classical doctrine: Pluto is a modern planet unknown to traditional astrology. Read from the modern and cyclic layers; treat this contact as a slow, generational background tone.</x:v>
      </x:c>
      <x:c r="D206" s="54" t="str">
        <x:v>Love and value meet intensity. All-or-nothing attraction, deep desire, and a strong pull toward control in relationships. The trine makes this a natural strength: Depth and devotion in love, used deliberately. The growth edge is not to coast on the ease.</x:v>
      </x:c>
      <x:c r="E206" s="54" t="str">
        <x:v>Waxing / waning trine</x:v>
      </x:c>
      <x:c r="F206" s="54" t="str">
        <x:v>Connection and power flow together with ease; respond to the opportunity.</x:v>
      </x:c>
      <x:c r="G206" s="54" t="str">
        <x:v>Distribute and give transmissible form to what connection and power have realized.</x:v>
      </x:c>
      <x:c r="H206" s="54" t="str">
        <x:v>An opening in this area. Magnetic and persuasive; the intensity has to be moderated.</x:v>
      </x:c>
      <x:c r="I206" s="54" t="str">
        <x:v>The ease lets indulgence and vanity and control and obsession go unchecked, or the opening pass unused.</x:v>
      </x:c>
      <x:c r="J206" s="54" t="str">
        <x:v>Ease and support build and arrive on their own.</x:v>
      </x:c>
      <x:c r="K206" s="54" t="str">
        <x:v>The ease withdraws; the flow passes, used or not.</x:v>
      </x:c>
      <x:c r="L206" s="54" t="str">
        <x:v>Love and value meet intensity. All-or-nothing attraction, deep desire, and a strong pull toward control in relationships. The trine makes this a natural strength: Depth and devotion in love, used deliberately. The growth edge is not to coast on the ease.</x:v>
      </x:c>
      <x:c r="M206" s="54" t="str">
        <x:v>{
  "traditional": "classical and traditional sources",
  "modern": "modern aspect cookbook (psychological / popular register)",
  "cyclic": "humanistic / process-oriented source (cyclic model)"
}</x:v>
      </x:c>
      <x:c r="N206" s="54" t="str">
        <x:v>dcc5c178af1216f91105fb6241f8dbbd32e13de74fd4c8819217d42f3aa550a0</x:v>
      </x:c>
      <x:c r="O206" s="54" t="str">
        <x:v>packages/astro-knowledge/data/transits/venus-trine-pluto.json</x:v>
      </x:c>
    </x:row>
    <x:row r="207" ht="90" customHeight="1">
      <x:c r="A207" s="54" t="n">
        <x:v>205</x:v>
      </x:c>
      <x:c r="B207" s="54" t="str">
        <x:v>sky.venus.sextile.pluto</x:v>
      </x:c>
      <x:c r="C207" s="54" t="str">
        <x:v>No classical doctrine: Pluto is a modern planet unknown to traditional astrology. Read from the modern and cyclic layers; treat this contact as a slow, generational background tone.</x:v>
      </x:c>
      <x:c r="D207" s="54" t="str">
        <x:v>Love and value meet intensity. All-or-nothing attraction, deep desire, and a strong pull toward control in relationships. The sextile makes this a natural strength: Depth and devotion in love, used deliberately. The growth edge is not to coast on the ease.</x:v>
      </x:c>
      <x:c r="E207" s="54" t="str">
        <x:v>Waxing / waning sextile</x:v>
      </x:c>
      <x:c r="F207" s="54" t="str">
        <x:v>A chance to organize connection and power into a new form; it must be actively taken up.</x:v>
      </x:c>
      <x:c r="G207" s="54" t="str">
        <x:v>Reorganize and share what connection and power have taught; communicate the insight.</x:v>
      </x:c>
      <x:c r="H207" s="54" t="str">
        <x:v>An opening in this area. Magnetic and persuasive; the intensity has to be moderated.</x:v>
      </x:c>
      <x:c r="I207" s="54" t="str">
        <x:v>The ease lets indulgence and vanity and control and obsession go unchecked, or the opening pass unused.</x:v>
      </x:c>
      <x:c r="J207" s="54" t="str">
        <x:v>A supportive opening becomes available; offered, not automatic.</x:v>
      </x:c>
      <x:c r="K207" s="54" t="str">
        <x:v>The opening closes; unused, it passes.</x:v>
      </x:c>
      <x:c r="L207" s="54" t="str">
        <x:v>Love and value meet intensity. All-or-nothing attraction, deep desire, and a strong pull toward control in relationships. The sextile makes this a natural strength: Depth and devotion in love, used deliberately. The growth edge is not to coast on the ease.</x:v>
      </x:c>
      <x:c r="M207" s="54" t="str">
        <x:v>{
  "traditional": "classical and traditional sources",
  "modern": "modern aspect cookbook (psychological / popular register)",
  "cyclic": "humanistic / process-oriented source (cyclic model)"
}</x:v>
      </x:c>
      <x:c r="N207" s="54" t="str">
        <x:v>bf0a23fa419f6db6a5c861eb5aa4cb1989cceedfd9b1c01e3acb68f9471b8451</x:v>
      </x:c>
      <x:c r="O207" s="54" t="str">
        <x:v>packages/astro-knowledge/data/transits/venus-sextile-pluto.json</x:v>
      </x:c>
    </x:row>
    <x:row r="208" ht="90" customHeight="1">
      <x:c r="A208" s="54" t="n">
        <x:v>206</x:v>
      </x:c>
      <x:c r="B208" s="54" t="str">
        <x:v>sky.venus.conjunction.saturn</x:v>
      </x:c>
      <x:c r="C208" s="54" t="str">
        <x:v>Love, money, and pleasure fused with limitation, delay, and hard structure. The two act as one and the combined significations are hard to separate. The benefic Venus tempers the malefic Saturn.</x:v>
      </x:c>
      <x:c r="D208" s="54" t="str">
        <x:v>Affection and value meet limit. Loyalty, restraint in pleasure and love, and a strong sense of obligation. Fused, these drives are difficult to separate and ask to be consciously integrated rather than acted out blindly.</x:v>
      </x:c>
      <x:c r="E208" s="54" t="str">
        <x:v>New (seed)</x:v>
      </x:c>
      <x:c r="F208" s="54" t="str"/>
      <x:c r="G208" s="54" t="str"/>
      <x:c r="H208" s="54" t="str">
        <x:v>Concentrated focus in this area. Loyal and hardworking; the risk is joyless striving and a belief that reward must be suffered for.</x:v>
      </x:c>
      <x:c r="I208" s="54" t="str">
        <x:v>Indulgence and vanity fused with fear and rigidity, with no distance to tell them apart.</x:v>
      </x:c>
      <x:c r="J208" s="54" t="str">
        <x:v>The two fuse and intensify as they close in.</x:v>
      </x:c>
      <x:c r="K208" s="54" t="str">
        <x:v>The fused theme peaks and discharges.</x:v>
      </x:c>
      <x:c r="L208" s="54" t="str">
        <x:v>Affection and value meet limit. Loyalty, restraint in pleasure and love, and a strong sense of obligation. Fused, these drives are difficult to separate and ask to be consciously integrated rather than acted out blindly.</x:v>
      </x:c>
      <x:c r="M208" s="54" t="str">
        <x:v>{
  "traditional": "classical and traditional sources",
  "modern": "modern aspect cookbook (psychological / popular register)",
  "cyclic": "humanistic / process-oriented source (cyclic model)"
}</x:v>
      </x:c>
      <x:c r="N208" s="54" t="str">
        <x:v>1b094ddd71f12e697606a3e36207e62c523b44eca78e5122d4052e365e9021aa</x:v>
      </x:c>
      <x:c r="O208" s="54" t="str">
        <x:v>packages/astro-knowledge/data/transits/venus-conjunction-saturn.json</x:v>
      </x:c>
    </x:row>
    <x:row r="209" ht="90" customHeight="1">
      <x:c r="A209" s="54" t="n">
        <x:v>207</x:v>
      </x:c>
      <x:c r="B209" s="54" t="str">
        <x:v>sky.venus.opposition.saturn</x:v>
      </x:c>
      <x:c r="C209" s="54" t="str">
        <x:v>A hard contact. Love, money, and pleasure works against limitation, delay, and hard structure - obstruction, friction, and strained outcomes in these areas. The benefic Venus tempers the malefic Saturn.</x:v>
      </x:c>
      <x:c r="D209" s="54" t="str">
        <x:v>Affection and value meet limit. Loyalty, restraint in pleasure and love, and a strong sense of obligation. Psychologically the opposition is inner tension to integrate: Difficulty enjoying success, fear of loss, blocked rewards, and free-floating guilt. The growth is owning both sides instead of splitting them.</x:v>
      </x:c>
      <x:c r="E209" s="54" t="str">
        <x:v>Full (culmination)</x:v>
      </x:c>
      <x:c r="F209" s="54" t="str"/>
      <x:c r="G209" s="54" t="str"/>
      <x:c r="H209" s="54" t="str">
        <x:v>Friction in this area. Loyal and hardworking; the risk is joyless striving and a belief that reward must be suffered for.</x:v>
      </x:c>
      <x:c r="I209" s="54" t="str">
        <x:v>Indulgence and vanity collides with fear and rigidity; forcing or splitting it instead of working it through.</x:v>
      </x:c>
      <x:c r="J209" s="54" t="str">
        <x:v>A confrontation builds; the other side comes fully into view.</x:v>
      </x:c>
      <x:c r="K209" s="54" t="str">
        <x:v>The standoff resolves into balance or a split.</x:v>
      </x:c>
      <x:c r="L209" s="54" t="str">
        <x:v>Affection and value meet limit. Loyalty, restraint in pleasure and love, and a strong sense of obligation. Psychologically the opposition is inner tension to integrate: Difficulty enjoying success, fear of loss, blocked rewards, and free-floating guilt. The growth is owning both sides instead of splitting them.</x:v>
      </x:c>
      <x:c r="M209" s="54" t="str">
        <x:v>{
  "traditional": "classical and traditional sources",
  "modern": "modern aspect cookbook (psychological / popular register)",
  "cyclic": "humanistic / process-oriented source (cyclic model)"
}</x:v>
      </x:c>
      <x:c r="N209" s="54" t="str">
        <x:v>1f23fdba83239af7dc8bead7697b2d438e6cee24a8fc664ee065965878104528</x:v>
      </x:c>
      <x:c r="O209" s="54" t="str">
        <x:v>packages/astro-knowledge/data/transits/venus-opposition-saturn.json</x:v>
      </x:c>
    </x:row>
    <x:row r="210" ht="90" customHeight="1">
      <x:c r="A210" s="54" t="n">
        <x:v>208</x:v>
      </x:c>
      <x:c r="B210" s="54" t="str">
        <x:v>sky.venus.square.saturn</x:v>
      </x:c>
      <x:c r="C210" s="54" t="str">
        <x:v>A hard contact. Love, money, and pleasure works against limitation, delay, and hard structure - obstruction, friction, and strained outcomes in these areas. The benefic Venus tempers the malefic Saturn.</x:v>
      </x:c>
      <x:c r="D210" s="54" t="str">
        <x:v>Affection and value meet limit. Loyalty, restraint in pleasure and love, and a strong sense of obligation. Psychologically the square is inner tension to integrate: Difficulty enjoying success, fear of loss, blocked rewards, and free-floating guilt. The growth is owning both sides instead of splitting them.</x:v>
      </x:c>
      <x:c r="E210" s="54" t="str">
        <x:v>First / Last Quarter</x:v>
      </x:c>
      <x:c r="F210" s="54" t="str">
        <x:v>Crisis of action: take conscious hold and build a durable form for connection against limit, or be thrown off course.</x:v>
      </x:c>
      <x:c r="G210" s="54" t="str">
        <x:v>Crisis of meaning: break down the connection/limit form that has outlived its purpose and reorient toward the next cycle.</x:v>
      </x:c>
      <x:c r="H210" s="54" t="str">
        <x:v>Friction in this area. Loyal and hardworking; the risk is joyless striving and a belief that reward must be suffered for.</x:v>
      </x:c>
      <x:c r="I210" s="54" t="str">
        <x:v>Indulgence and vanity collides with fear and rigidity; forcing or splitting it instead of working it through.</x:v>
      </x:c>
      <x:c r="J210" s="54" t="str">
        <x:v>Friction builds toward a forced adjustment.</x:v>
      </x:c>
      <x:c r="K210" s="54" t="str">
        <x:v>The crisis passes; what was restructured settles.</x:v>
      </x:c>
      <x:c r="L210" s="54" t="str">
        <x:v>Affection and value meet limit. Loyalty, restraint in pleasure and love, and a strong sense of obligation. Psychologically the square is inner tension to integrate: Difficulty enjoying success, fear of loss, blocked rewards, and free-floating guilt. The growth is owning both sides instead of splitting them.</x:v>
      </x:c>
      <x:c r="M210" s="54" t="str">
        <x:v>{
  "traditional": "classical and traditional sources",
  "modern": "modern aspect cookbook (psychological / popular register)",
  "cyclic": "humanistic / process-oriented source (cyclic model)"
}</x:v>
      </x:c>
      <x:c r="N210" s="54" t="str">
        <x:v>679986732dd70fc1d490c7e02a9c30bb1224966a397f5c2596eda663ed56b57d</x:v>
      </x:c>
      <x:c r="O210" s="54" t="str">
        <x:v>packages/astro-knowledge/data/transits/venus-square-saturn.json</x:v>
      </x:c>
    </x:row>
    <x:row r="211" ht="90" customHeight="1">
      <x:c r="A211" s="54" t="n">
        <x:v>209</x:v>
      </x:c>
      <x:c r="B211" s="54" t="str">
        <x:v>sky.venus.trine.saturn</x:v>
      </x:c>
      <x:c r="C211" s="54" t="str">
        <x:v>A soft contact. Love, money, and pleasure supports limitation, delay, and hard structure - cooperation and favorable conditions in these areas. The benefic Venus tempers the malefic Saturn.</x:v>
      </x:c>
      <x:c r="D211" s="54" t="str">
        <x:v>Affection and value meet limit. Loyalty, restraint in pleasure and love, and a strong sense of obligation. The trine makes this a natural strength: Committed, steady, and loyal in relationships and finances. The growth edge is not to coast on the ease.</x:v>
      </x:c>
      <x:c r="E211" s="54" t="str">
        <x:v>Waxing / waning trine</x:v>
      </x:c>
      <x:c r="F211" s="54" t="str">
        <x:v>Connection and limit flow together with ease; respond to the opportunity.</x:v>
      </x:c>
      <x:c r="G211" s="54" t="str">
        <x:v>Distribute and give transmissible form to what connection and limit have realized.</x:v>
      </x:c>
      <x:c r="H211" s="54" t="str">
        <x:v>An opening in this area. Loyal and hardworking; the risk is joyless striving and a belief that reward must be suffered for.</x:v>
      </x:c>
      <x:c r="I211" s="54" t="str">
        <x:v>The ease lets indulgence and vanity and fear and rigidity go unchecked, or the opening pass unused.</x:v>
      </x:c>
      <x:c r="J211" s="54" t="str">
        <x:v>Ease and support build and arrive on their own.</x:v>
      </x:c>
      <x:c r="K211" s="54" t="str">
        <x:v>The ease withdraws; the flow passes, used or not.</x:v>
      </x:c>
      <x:c r="L211" s="54" t="str">
        <x:v>Affection and value meet limit. Loyalty, restraint in pleasure and love, and a strong sense of obligation. The trine makes this a natural strength: Committed, steady, and loyal in relationships and finances. The growth edge is not to coast on the ease.</x:v>
      </x:c>
      <x:c r="M211" s="54" t="str">
        <x:v>{
  "traditional": "classical and traditional sources",
  "modern": "modern aspect cookbook (psychological / popular register)",
  "cyclic": "humanistic / process-oriented source (cyclic model)"
}</x:v>
      </x:c>
      <x:c r="N211" s="54" t="str">
        <x:v>80c7c0bc256b0d8678de5b01f4d36a7360ff100ca117ae37eb2d7795a3ed25ce</x:v>
      </x:c>
      <x:c r="O211" s="54" t="str">
        <x:v>packages/astro-knowledge/data/transits/venus-trine-saturn.json</x:v>
      </x:c>
    </x:row>
    <x:row r="212" ht="90" customHeight="1">
      <x:c r="A212" s="54" t="n">
        <x:v>210</x:v>
      </x:c>
      <x:c r="B212" s="54" t="str">
        <x:v>sky.venus.sextile.saturn</x:v>
      </x:c>
      <x:c r="C212" s="54" t="str">
        <x:v>A soft contact. Love, money, and pleasure supports limitation, delay, and hard structure - cooperation and favorable conditions in these areas. The benefic Venus tempers the malefic Saturn.</x:v>
      </x:c>
      <x:c r="D212" s="54" t="str">
        <x:v>Affection and value meet limit. Loyalty, restraint in pleasure and love, and a strong sense of obligation. The sextile makes this a natural strength: Committed, steady, and loyal in relationships and finances. The growth edge is not to coast on the ease.</x:v>
      </x:c>
      <x:c r="E212" s="54" t="str">
        <x:v>Waxing / waning sextile</x:v>
      </x:c>
      <x:c r="F212" s="54" t="str">
        <x:v>A chance to organize connection and limit into a new form; it must be actively taken up.</x:v>
      </x:c>
      <x:c r="G212" s="54" t="str">
        <x:v>Reorganize and share what connection and limit have taught; communicate the insight.</x:v>
      </x:c>
      <x:c r="H212" s="54" t="str">
        <x:v>An opening in this area. Loyal and hardworking; the risk is joyless striving and a belief that reward must be suffered for.</x:v>
      </x:c>
      <x:c r="I212" s="54" t="str">
        <x:v>The ease lets indulgence and vanity and fear and rigidity go unchecked, or the opening pass unused.</x:v>
      </x:c>
      <x:c r="J212" s="54" t="str">
        <x:v>A supportive opening becomes available; offered, not automatic.</x:v>
      </x:c>
      <x:c r="K212" s="54" t="str">
        <x:v>The opening closes; unused, it passes.</x:v>
      </x:c>
      <x:c r="L212" s="54" t="str">
        <x:v>Affection and value meet limit. Loyalty, restraint in pleasure and love, and a strong sense of obligation. The sextile makes this a natural strength: Committed, steady, and loyal in relationships and finances. The growth edge is not to coast on the ease.</x:v>
      </x:c>
      <x:c r="M212" s="54" t="str">
        <x:v>{
  "traditional": "classical and traditional sources",
  "modern": "modern aspect cookbook (psychological / popular register)",
  "cyclic": "humanistic / process-oriented source (cyclic model)"
}</x:v>
      </x:c>
      <x:c r="N212" s="54" t="str">
        <x:v>e519829537ff60c91f15358bdf58293a7720779559bee70dd5bad88a7d7d191b</x:v>
      </x:c>
      <x:c r="O212" s="54" t="str">
        <x:v>packages/astro-knowledge/data/transits/venus-sextile-saturn.json</x:v>
      </x:c>
    </x:row>
    <x:row r="213" ht="90" customHeight="1">
      <x:c r="A213" s="54" t="n">
        <x:v>211</x:v>
      </x:c>
      <x:c r="B213" s="54" t="str">
        <x:v>sky.venus.conjunction.uranus</x:v>
      </x:c>
      <x:c r="C213" s="54" t="str">
        <x:v>No classical doctrine: Uranus is a modern planet unknown to traditional astrology. Read from the modern and cyclic layers; treat this contact as a slow, generational background tone.</x:v>
      </x:c>
      <x:c r="D213" s="54" t="str">
        <x:v>Connection and value meet disruption and freedom. Attraction runs electric, sudden, and unattached to convention. Fused, these drives are difficult to separate and ask to be consciously integrated rather than acted out blindly.</x:v>
      </x:c>
      <x:c r="E213" s="54" t="str">
        <x:v>New (seed)</x:v>
      </x:c>
      <x:c r="F213" s="54" t="str"/>
      <x:c r="G213" s="54" t="str"/>
      <x:c r="H213" s="54" t="str">
        <x:v>Concentrated focus in this area. Good for fresh, original creative and social moves; unreliable for steady commitments.</x:v>
      </x:c>
      <x:c r="I213" s="54" t="str">
        <x:v>Indulgence and vanity fused with instability for its own sake, with no distance to tell them apart.</x:v>
      </x:c>
      <x:c r="J213" s="54" t="str">
        <x:v>The two fuse and intensify as they close in.</x:v>
      </x:c>
      <x:c r="K213" s="54" t="str">
        <x:v>The fused theme peaks and discharges.</x:v>
      </x:c>
      <x:c r="L213" s="54" t="str">
        <x:v>Connection and value meet disruption and freedom. Attraction runs electric, sudden, and unattached to convention. Fused, these drives are difficult to separate and ask to be consciously integrated rather than acted out blindly.</x:v>
      </x:c>
      <x:c r="M213" s="54" t="str">
        <x:v>{
  "traditional": "classical and traditional sources",
  "modern": "modern aspect cookbook (psychological / popular register)",
  "cyclic": "humanistic / process-oriented source (cyclic model)"
}</x:v>
      </x:c>
      <x:c r="N213" s="54" t="str">
        <x:v>486cca1547448362b940fd6e428452fb7ef74ad232bc29df5aa4d48c2dc4f923</x:v>
      </x:c>
      <x:c r="O213" s="54" t="str">
        <x:v>packages/astro-knowledge/data/transits/venus-conjunction-uranus.json</x:v>
      </x:c>
    </x:row>
    <x:row r="214" ht="90" customHeight="1">
      <x:c r="A214" s="54" t="n">
        <x:v>212</x:v>
      </x:c>
      <x:c r="B214" s="54" t="str">
        <x:v>sky.venus.opposition.uranus</x:v>
      </x:c>
      <x:c r="C214" s="54" t="str">
        <x:v>No classical doctrine: Uranus is a modern planet unknown to traditional astrology. Read from the modern and cyclic layers; treat this contact as a slow, generational background tone.</x:v>
      </x:c>
      <x:c r="D214" s="54" t="str">
        <x:v>Connection and value meet disruption and freedom. Attraction runs electric, sudden, and unattached to convention. Psychologically the opposition is inner tension to integrate: Erratic affections, sudden attractions and ruptures, and a refusal to be tied down. The growth is owning both sides instead of splitting them.</x:v>
      </x:c>
      <x:c r="E214" s="54" t="str">
        <x:v>Full (culmination)</x:v>
      </x:c>
      <x:c r="F214" s="54" t="str"/>
      <x:c r="G214" s="54" t="str"/>
      <x:c r="H214" s="54" t="str">
        <x:v>Friction in this area. Good for fresh, original creative and social moves; unreliable for steady commitments.</x:v>
      </x:c>
      <x:c r="I214" s="54" t="str">
        <x:v>Indulgence and vanity collides with instability for its own sake; forcing or splitting it instead of working it through.</x:v>
      </x:c>
      <x:c r="J214" s="54" t="str">
        <x:v>A confrontation builds; the other side comes fully into view.</x:v>
      </x:c>
      <x:c r="K214" s="54" t="str">
        <x:v>The standoff resolves into balance or a split.</x:v>
      </x:c>
      <x:c r="L214" s="54" t="str">
        <x:v>Connection and value meet disruption and freedom. Attraction runs electric, sudden, and unattached to convention. Psychologically the opposition is inner tension to integrate: Erratic affections, sudden attractions and ruptures, and a refusal to be tied down. The growth is owning both sides instead of splitting them.</x:v>
      </x:c>
      <x:c r="M214" s="54" t="str">
        <x:v>{
  "traditional": "classical and traditional sources",
  "modern": "modern aspect cookbook (psychological / popular register)",
  "cyclic": "humanistic / process-oriented source (cyclic model)"
}</x:v>
      </x:c>
      <x:c r="N214" s="54" t="str">
        <x:v>6105311b561a1ccc17c537ac79bffa440241e59ffc9dd7f8c8baee642684479b</x:v>
      </x:c>
      <x:c r="O214" s="54" t="str">
        <x:v>packages/astro-knowledge/data/transits/venus-opposition-uranus.json</x:v>
      </x:c>
    </x:row>
    <x:row r="215" ht="90" customHeight="1">
      <x:c r="A215" s="54" t="n">
        <x:v>213</x:v>
      </x:c>
      <x:c r="B215" s="54" t="str">
        <x:v>sky.venus.square.uranus</x:v>
      </x:c>
      <x:c r="C215" s="54" t="str">
        <x:v>No classical doctrine: Uranus is a modern planet unknown to traditional astrology. Read from the modern and cyclic layers; treat this contact as a slow, generational background tone.</x:v>
      </x:c>
      <x:c r="D215" s="54" t="str">
        <x:v>Connection and value meet disruption and freedom. Attraction runs electric, sudden, and unattached to convention. Psychologically the square is inner tension to integrate: Erratic affections, sudden attractions and ruptures, and a refusal to be tied down. The growth is owning both sides instead of splitting them.</x:v>
      </x:c>
      <x:c r="E215" s="54" t="str">
        <x:v>First / Last Quarter</x:v>
      </x:c>
      <x:c r="F215" s="54" t="str">
        <x:v>Crisis of action: take conscious hold and build a durable form for connection against disruption, or be thrown off course.</x:v>
      </x:c>
      <x:c r="G215" s="54" t="str">
        <x:v>Crisis of meaning: break down the connection/disruption form that has outlived its purpose and reorient toward the next cycle.</x:v>
      </x:c>
      <x:c r="H215" s="54" t="str">
        <x:v>Friction in this area. Good for fresh, original creative and social moves; unreliable for steady commitments.</x:v>
      </x:c>
      <x:c r="I215" s="54" t="str">
        <x:v>Indulgence and vanity collides with instability for its own sake; forcing or splitting it instead of working it through.</x:v>
      </x:c>
      <x:c r="J215" s="54" t="str">
        <x:v>Friction builds toward a forced adjustment.</x:v>
      </x:c>
      <x:c r="K215" s="54" t="str">
        <x:v>The crisis passes; what was restructured settles.</x:v>
      </x:c>
      <x:c r="L215" s="54" t="str">
        <x:v>Connection and value meet disruption and freedom. Attraction runs electric, sudden, and unattached to convention. Psychologically the square is inner tension to integrate: Erratic affections, sudden attractions and ruptures, and a refusal to be tied down. The growth is owning both sides instead of splitting them.</x:v>
      </x:c>
      <x:c r="M215" s="54" t="str">
        <x:v>{
  "traditional": "classical and traditional sources",
  "modern": "modern aspect cookbook (psychological / popular register)",
  "cyclic": "humanistic / process-oriented source (cyclic model)"
}</x:v>
      </x:c>
      <x:c r="N215" s="54" t="str">
        <x:v>f940f0d8aa412c91ed52a78bf553576d4c89012607b23d4e9da3288ba896a3cf</x:v>
      </x:c>
      <x:c r="O215" s="54" t="str">
        <x:v>packages/astro-knowledge/data/transits/venus-square-uranus.json</x:v>
      </x:c>
    </x:row>
    <x:row r="216" ht="90" customHeight="1">
      <x:c r="A216" s="54" t="n">
        <x:v>214</x:v>
      </x:c>
      <x:c r="B216" s="54" t="str">
        <x:v>sky.venus.trine.uranus</x:v>
      </x:c>
      <x:c r="C216" s="54" t="str">
        <x:v>No classical doctrine: Uranus is a modern planet unknown to traditional astrology. Read from the modern and cyclic layers; treat this contact as a slow, generational background tone.</x:v>
      </x:c>
      <x:c r="D216" s="54" t="str">
        <x:v>Connection and value meet disruption and freedom. Attraction runs electric, sudden, and unattached to convention. The trine makes this a natural strength: Exciting, unconventional bonds and an original aesthetic; freedom inside closeness. The growth edge is not to coast on the ease.</x:v>
      </x:c>
      <x:c r="E216" s="54" t="str">
        <x:v>Waxing / waning trine</x:v>
      </x:c>
      <x:c r="F216" s="54" t="str">
        <x:v>Connection and disruption flow together with ease; respond to the opportunity.</x:v>
      </x:c>
      <x:c r="G216" s="54" t="str">
        <x:v>Distribute and give transmissible form to what connection and disruption have realized.</x:v>
      </x:c>
      <x:c r="H216" s="54" t="str">
        <x:v>An opening in this area. Good for fresh, original creative and social moves; unreliable for steady commitments.</x:v>
      </x:c>
      <x:c r="I216" s="54" t="str">
        <x:v>The ease lets indulgence and vanity and instability for its own sake go unchecked, or the opening pass unused.</x:v>
      </x:c>
      <x:c r="J216" s="54" t="str">
        <x:v>Ease and support build and arrive on their own.</x:v>
      </x:c>
      <x:c r="K216" s="54" t="str">
        <x:v>The ease withdraws; the flow passes, used or not.</x:v>
      </x:c>
      <x:c r="L216" s="54" t="str">
        <x:v>Connection and value meet disruption and freedom. Attraction runs electric, sudden, and unattached to convention. The trine makes this a natural strength: Exciting, unconventional bonds and an original aesthetic; freedom inside closeness. The growth edge is not to coast on the ease.</x:v>
      </x:c>
      <x:c r="M216" s="54" t="str">
        <x:v>{
  "traditional": "classical and traditional sources",
  "modern": "modern aspect cookbook (psychological / popular register)",
  "cyclic": "humanistic / process-oriented source (cyclic model)"
}</x:v>
      </x:c>
      <x:c r="N216" s="54" t="str">
        <x:v>6ad0ba883c1a751c054b9a2c1491f485889ba961a1b0129c7e0fe3c5f216a875</x:v>
      </x:c>
      <x:c r="O216" s="54" t="str">
        <x:v>packages/astro-knowledge/data/transits/venus-trine-uranus.json</x:v>
      </x:c>
    </x:row>
    <x:row r="217" ht="90" customHeight="1">
      <x:c r="A217" s="54" t="n">
        <x:v>215</x:v>
      </x:c>
      <x:c r="B217" s="54" t="str">
        <x:v>sky.venus.sextile.uranus</x:v>
      </x:c>
      <x:c r="C217" s="54" t="str">
        <x:v>No classical doctrine: Uranus is a modern planet unknown to traditional astrology. Read from the modern and cyclic layers; treat this contact as a slow, generational background tone.</x:v>
      </x:c>
      <x:c r="D217" s="54" t="str">
        <x:v>Connection and value meet disruption and freedom. Attraction runs electric, sudden, and unattached to convention. The sextile makes this a natural strength: Exciting, unconventional bonds and an original aesthetic; freedom inside closeness. The growth edge is not to coast on the ease.</x:v>
      </x:c>
      <x:c r="E217" s="54" t="str">
        <x:v>Waxing / waning sextile</x:v>
      </x:c>
      <x:c r="F217" s="54" t="str">
        <x:v>A chance to organize connection and disruption into a new form; it must be actively taken up.</x:v>
      </x:c>
      <x:c r="G217" s="54" t="str">
        <x:v>Reorganize and share what connection and disruption have taught; communicate the insight.</x:v>
      </x:c>
      <x:c r="H217" s="54" t="str">
        <x:v>An opening in this area. Good for fresh, original creative and social moves; unreliable for steady commitments.</x:v>
      </x:c>
      <x:c r="I217" s="54" t="str">
        <x:v>The ease lets indulgence and vanity and instability for its own sake go unchecked, or the opening pass unused.</x:v>
      </x:c>
      <x:c r="J217" s="54" t="str">
        <x:v>A supportive opening becomes available; offered, not automatic.</x:v>
      </x:c>
      <x:c r="K217" s="54" t="str">
        <x:v>The opening closes; unused, it passes.</x:v>
      </x:c>
      <x:c r="L217" s="54" t="str">
        <x:v>Connection and value meet disruption and freedom. Attraction runs electric, sudden, and unattached to convention. The sextile makes this a natural strength: Exciting, unconventional bonds and an original aesthetic; freedom inside closeness. The growth edge is not to coast on the ease.</x:v>
      </x:c>
      <x:c r="M217" s="54" t="str">
        <x:v>{
  "traditional": "classical and traditional sources",
  "modern": "modern aspect cookbook (psychological / popular register)",
  "cyclic": "humanistic / process-oriented source (cyclic model)"
}</x:v>
      </x:c>
      <x:c r="N217" s="54" t="str">
        <x:v>daa6b3e1113e573b4676603113b55f39a295eb39e3a3b17fe34ef6e0d8cb98d1</x:v>
      </x:c>
      <x:c r="O217" s="54" t="str">
        <x:v>packages/astro-knowledge/data/transits/venus-sextile-uranus.json</x:v>
      </x:c>
    </x:row>
  </x:sheetData>
  <x:mergeCells>
    <x:mergeCell ref="A1:O1"/>
  </x:mergeCells>
  <x:pageMargins left="0.7" right="0.7" top="0.75" bottom="0.75" header="0.3" footer="0.3"/>
  <x:tableParts count="1">
    <x:tablePart xmlns:r="http://schemas.openxmlformats.org/officeDocument/2006/relationships" r:id="R3fa84090a4b348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00" hidden="0" customWidth="1"/>
    <x:col min="3" max="3" width="31" hidden="0" customWidth="1"/>
    <x:col min="4" max="4" width="31" hidden="0" customWidth="1"/>
    <x:col min="5" max="5" width="31" hidden="0" customWidth="1"/>
  </x:cols>
  <x:sheetData>
    <x:row r="1" ht="34" customHeight="1">
      <x:c r="A1" s="3" t="str">
        <x:v>Owner-Written Calibration — Preserve Exactly as Reference</x:v>
      </x:c>
    </x:row>
    <x:row r="2" ht="32" customHeight="1">
      <x:c r="A2" s="24" t="str">
        <x:v>Title</x:v>
      </x:c>
      <x:c r="B2" s="25" t="str">
        <x:v>Owner-written target</x:v>
      </x:c>
      <x:c r="C2" s="25" t="str">
        <x:v>Starts with</x:v>
      </x:c>
      <x:c r="D2" s="25" t="str">
        <x:v>Astrology sentence</x:v>
      </x:c>
      <x:c r="E2" s="26" t="str">
        <x:v>Ends with</x:v>
      </x:c>
    </x:row>
    <x:row r="3" ht="128" customHeight="1">
      <x:c r="A3" s="57" t="str">
        <x:v>Mars in Libra square Moon in Capricorn</x:v>
      </x:c>
      <x:c r="B3" s="59" t="str">
        <x:v>A project may stall once everyone realizes the workload is not being split fairly. The square between Mars in Libra and the Moon in Capricorn can turn a quiet imbalance of effort into an open confrontation about responsibility. One person may end up taking on the extra revisions, staying late, or finishing tasks no one explicitly claimed. The issue is no longer just meeting the deadline; it is about who keeps absorbing the extra hours while everyone else debates what looks balanced. Name what each person is actually responsible for before taking on another task.</x:v>
      </x:c>
      <x:c r="C3" s="53" t="str">
        <x:v>Recognizable work problem</x:v>
      </x:c>
      <x:c r="D3" s="53" t="str">
        <x:v>Explains Libra fairness versus Capricorn responsibility</x:v>
      </x:c>
      <x:c r="E3" s="53" t="str">
        <x:v>Short practical guidance</x:v>
      </x:c>
    </x:row>
    <x:row r="4" ht="128" customHeight="1">
      <x:c r="A4" s="58" t="str">
        <x:v>Uranus in Taurus opposite Mars in Scorpio</x:v>
      </x:c>
      <x:c r="B4" s="60" t="str">
        <x:v>A price changes, an account gets locked, or a shared resource suddenly becomes unavailable without warning. The opposition between Uranus in Taurus and Mars in Scorpio can turn an unexpected disruption into a dispute over leverage and control. The person who needs the fix right now may not have the budget, password, or authority required to make it happen. Before rushing into a makeshift workaround that creates new liabilities, verify who holds the actual decision-making power and address the access problem directly.</x:v>
      </x:c>
      <x:c r="C4" s="54" t="str">
        <x:v>Visible resource disruption</x:v>
      </x:c>
      <x:c r="D4" s="54" t="str">
        <x:v>Explains Taurus resources versus Scorpio control</x:v>
      </x:c>
      <x:c r="E4" s="54" t="str">
        <x:v>Specific risk check and action</x:v>
      </x:c>
    </x:row>
    <x:row r="5" ht="128" customHeight="1">
      <x:c r="A5" s="58" t="str">
        <x:v>Pluto in Aquarius sextile Mercury in Aries</x:v>
      </x:c>
      <x:c r="B5" s="60" t="str">
        <x:v>A policy or quiet exception that benefits only a few people may finally get challenged out loud. The sextile between Pluto in Aquarius and Mercury in Aries can cut through months of vague complaints with a direct, specific question. Someone points out the exact sentence in the guidelines that creates the bottleneck, giving the entire group a clear target. Use the momentum to propose one concrete rule change instead of debating the entire organization at once.</x:v>
      </x:c>
      <x:c r="C5" s="54" t="str">
        <x:v>Visible policy problem</x:v>
      </x:c>
      <x:c r="D5" s="54" t="str">
        <x:v>Explains system power plus direct speech</x:v>
      </x:c>
      <x:c r="E5" s="54" t="str">
        <x:v>One testable next move</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74" hidden="0" customWidth="1"/>
    <x:col min="5" max="5" width="54" hidden="0" customWidth="1"/>
    <x:col min="6" max="6" width="44" hidden="0" customWidth="1"/>
    <x:col min="7" max="7" width="16" hidden="0" customWidth="1"/>
  </x:cols>
  <x:sheetData>
    <x:row r="1">
      <x:c r="A1" s="64" t="str">
        <x:v>Pair Key</x:v>
      </x:c>
      <x:c r="B1" s="64" t="str">
        <x:v>Planet A</x:v>
      </x:c>
      <x:c r="C1" s="64" t="str">
        <x:v>Planet B</x:v>
      </x:c>
      <x:c r="D1" s="64" t="str">
        <x:v>Pair Meaning</x:v>
      </x:c>
      <x:c r="E1" s="64" t="str">
        <x:v>Source Support</x:v>
      </x:c>
      <x:c r="F1" s="64" t="str">
        <x:v>Use</x:v>
      </x:c>
      <x:c r="G1" s="64" t="str">
        <x:v>Status</x:v>
      </x:c>
    </x:row>
    <x:row r="2">
      <x:c r="A2" s="27" t="str">
        <x:v>jupiter|neptune</x:v>
      </x:c>
      <x:c r="B2" s="27" t="str">
        <x:v>jupiter</x:v>
      </x:c>
      <x:c r="C2" s="27" t="str">
        <x:v>neptune</x:v>
      </x:c>
      <x:c r="D2" s="27" t="str">
        <x:v>Expansion and belief meet vision, compassion, and ambiguity. The promise can grow faster than its boundaries, proof, or delivery plan.</x:v>
      </x:c>
      <x:c r="E2" s="27" t="str">
        <x:v>sky.jupiter.conjunction.neptune, sky.jupiter.opposition.neptune, sky.jupiter.square.neptune, sky.jupiter.trine.neptune, sky.jupiter.sextile.neptune</x:v>
      </x:c>
      <x:c r="F2" s="27" t="str">
        <x:v>Invariant semantic anchor. Do not serve directly.</x:v>
      </x:c>
      <x:c r="G2" s="27" t="str">
        <x:v>AUTHORED</x:v>
      </x:c>
    </x:row>
    <x:row r="3">
      <x:c r="A3" s="27" t="str">
        <x:v>jupiter|pluto</x:v>
      </x:c>
      <x:c r="B3" s="27" t="str">
        <x:v>jupiter</x:v>
      </x:c>
      <x:c r="C3" s="27" t="str">
        <x:v>pluto</x:v>
      </x:c>
      <x:c r="D3" s="27" t="str">
        <x:v>Growth, money, and reach meet concentrated power. Expansion changes who controls access, ownership, leverage, or the final decision.</x:v>
      </x:c>
      <x:c r="E3" s="27" t="str">
        <x:v>sky.jupiter.conjunction.pluto, sky.jupiter.opposition.pluto, sky.jupiter.square.pluto, sky.jupiter.trine.pluto, sky.jupiter.sextile.pluto</x:v>
      </x:c>
      <x:c r="F3" s="27" t="str">
        <x:v>Invariant semantic anchor. Do not serve directly.</x:v>
      </x:c>
      <x:c r="G3" s="27" t="str">
        <x:v>AUTHORED</x:v>
      </x:c>
    </x:row>
    <x:row r="4">
      <x:c r="A4" s="27" t="str">
        <x:v>jupiter|saturn</x:v>
      </x:c>
      <x:c r="B4" s="27" t="str">
        <x:v>jupiter</x:v>
      </x:c>
      <x:c r="C4" s="27" t="str">
        <x:v>saturn</x:v>
      </x:c>
      <x:c r="D4" s="27" t="str">
        <x:v>Expansion meets limits, rules, and responsibility. Growth succeeds or stalls according to the structure, staffing, money, and authority supporting it.</x:v>
      </x:c>
      <x:c r="E4" s="27" t="str">
        <x:v>sky.jupiter.conjunction.saturn, sky.jupiter.opposition.saturn, sky.jupiter.square.saturn, sky.jupiter.trine.saturn, sky.jupiter.sextile.saturn</x:v>
      </x:c>
      <x:c r="F4" s="27" t="str">
        <x:v>Invariant semantic anchor. Do not serve directly.</x:v>
      </x:c>
      <x:c r="G4" s="27" t="str">
        <x:v>AUTHORED</x:v>
      </x:c>
    </x:row>
    <x:row r="5">
      <x:c r="A5" s="27" t="str">
        <x:v>jupiter|uranus</x:v>
      </x:c>
      <x:c r="B5" s="27" t="str">
        <x:v>jupiter</x:v>
      </x:c>
      <x:c r="C5" s="27" t="str">
        <x:v>uranus</x:v>
      </x:c>
      <x:c r="D5" s="27" t="str">
        <x:v>Scale and opportunity meet disruption and innovation. A sudden opening can widen access or move faster than the systems meant to support it.</x:v>
      </x:c>
      <x:c r="E5" s="27" t="str">
        <x:v>sky.jupiter.conjunction.uranus, sky.jupiter.opposition.uranus, sky.jupiter.square.uranus, sky.jupiter.trine.uranus, sky.jupiter.sextile.uranus</x:v>
      </x:c>
      <x:c r="F5" s="27" t="str">
        <x:v>Invariant semantic anchor. Do not serve directly.</x:v>
      </x:c>
      <x:c r="G5" s="27" t="str">
        <x:v>AUTHORED</x:v>
      </x:c>
    </x:row>
    <x:row r="6">
      <x:c r="A6" s="27" t="str">
        <x:v>mars|jupiter</x:v>
      </x:c>
      <x:c r="B6" s="27" t="str">
        <x:v>mars</x:v>
      </x:c>
      <x:c r="C6" s="27" t="str">
        <x:v>jupiter</x:v>
      </x:c>
      <x:c r="D6" s="27" t="str">
        <x:v>Action meets confidence and scale. Momentum can enlarge an effort quickly, along with the risk, promise, workload, or public expectation attached to it.</x:v>
      </x:c>
      <x:c r="E6" s="27" t="str">
        <x:v>sky.mars.conjunction.jupiter, sky.mars.opposition.jupiter, sky.mars.square.jupiter, sky.mars.trine.jupiter, sky.mars.sextile.jupiter</x:v>
      </x:c>
      <x:c r="F6" s="27" t="str">
        <x:v>Invariant semantic anchor. Do not serve directly.</x:v>
      </x:c>
      <x:c r="G6" s="27" t="str">
        <x:v>AUTHORED</x:v>
      </x:c>
    </x:row>
    <x:row r="7">
      <x:c r="A7" s="27" t="str">
        <x:v>mars|neptune</x:v>
      </x:c>
      <x:c r="B7" s="27" t="str">
        <x:v>mars</x:v>
      </x:c>
      <x:c r="C7" s="27" t="str">
        <x:v>neptune</x:v>
      </x:c>
      <x:c r="D7" s="27" t="str">
        <x:v>Action meets ideal, empathy, and ambiguity. Effort is powerful when the purpose is clear and wasteful when the target keeps moving.</x:v>
      </x:c>
      <x:c r="E7" s="27" t="str">
        <x:v>sky.mars.conjunction.neptune, sky.mars.opposition.neptune, sky.mars.square.neptune, sky.mars.trine.neptune, sky.mars.sextile.neptune</x:v>
      </x:c>
      <x:c r="F7" s="27" t="str">
        <x:v>Invariant semantic anchor. Do not serve directly.</x:v>
      </x:c>
      <x:c r="G7" s="27" t="str">
        <x:v>AUTHORED</x:v>
      </x:c>
    </x:row>
    <x:row r="8">
      <x:c r="A8" s="27" t="str">
        <x:v>mars|pluto</x:v>
      </x:c>
      <x:c r="B8" s="27" t="str">
        <x:v>mars</x:v>
      </x:c>
      <x:c r="C8" s="27" t="str">
        <x:v>pluto</x:v>
      </x:c>
      <x:c r="D8" s="27" t="str">
        <x:v>Force meets leverage and control. Action becomes a contest over who can compel the result and who absorbs the consequences.</x:v>
      </x:c>
      <x:c r="E8" s="27" t="str">
        <x:v>sky.mars.conjunction.pluto, sky.mars.opposition.pluto, sky.mars.square.pluto, sky.mars.trine.pluto, sky.mars.sextile.pluto</x:v>
      </x:c>
      <x:c r="F8" s="27" t="str">
        <x:v>Invariant semantic anchor. Do not serve directly.</x:v>
      </x:c>
      <x:c r="G8" s="27" t="str">
        <x:v>AUTHORED</x:v>
      </x:c>
    </x:row>
    <x:row r="9">
      <x:c r="A9" s="27" t="str">
        <x:v>mars|saturn</x:v>
      </x:c>
      <x:c r="B9" s="27" t="str">
        <x:v>mars</x:v>
      </x:c>
      <x:c r="C9" s="27" t="str">
        <x:v>saturn</x:v>
      </x:c>
      <x:c r="D9" s="27" t="str">
        <x:v>Action meets restriction, timing, and authority. Pressure has to move through rules, limits, permits, deadlines, or a chain of responsibility.</x:v>
      </x:c>
      <x:c r="E9" s="27" t="str">
        <x:v>sky.mars.conjunction.saturn, sky.mars.opposition.saturn, sky.mars.square.saturn, sky.mars.trine.saturn, sky.mars.sextile.saturn</x:v>
      </x:c>
      <x:c r="F9" s="27" t="str">
        <x:v>Invariant semantic anchor. Do not serve directly.</x:v>
      </x:c>
      <x:c r="G9" s="27" t="str">
        <x:v>AUTHORED</x:v>
      </x:c>
    </x:row>
    <x:row r="10">
      <x:c r="A10" s="27" t="str">
        <x:v>mars|uranus</x:v>
      </x:c>
      <x:c r="B10" s="27" t="str">
        <x:v>mars</x:v>
      </x:c>
      <x:c r="C10" s="27" t="str">
        <x:v>uranus</x:v>
      </x:c>
      <x:c r="D10" s="27" t="str">
        <x:v>Action meets disruption and independence. Fast moves can break a stalemate, create a workaround, or produce avoidable instability.</x:v>
      </x:c>
      <x:c r="E10" s="27" t="str">
        <x:v>sky.mars.conjunction.uranus, sky.mars.opposition.uranus, sky.mars.square.uranus, sky.mars.trine.uranus, sky.mars.sextile.uranus</x:v>
      </x:c>
      <x:c r="F10" s="27" t="str">
        <x:v>Invariant semantic anchor. Do not serve directly.</x:v>
      </x:c>
      <x:c r="G10" s="27" t="str">
        <x:v>AUTHORED</x:v>
      </x:c>
    </x:row>
    <x:row r="11">
      <x:c r="A11" s="27" t="str">
        <x:v>mercury|jupiter</x:v>
      </x:c>
      <x:c r="B11" s="27" t="str">
        <x:v>mercury</x:v>
      </x:c>
      <x:c r="C11" s="27" t="str">
        <x:v>jupiter</x:v>
      </x:c>
      <x:c r="D11" s="27" t="str">
        <x:v>Information and decisions meet scale and belief. A message can widen reach, enlarge a claim, or turn one idea into a bigger commitment.</x:v>
      </x:c>
      <x:c r="E11" s="27" t="str">
        <x:v>sky.mercury.conjunction.jupiter, sky.mercury.opposition.jupiter, sky.mercury.square.jupiter, sky.mercury.trine.jupiter, sky.mercury.sextile.jupiter</x:v>
      </x:c>
      <x:c r="F11" s="27" t="str">
        <x:v>Invariant semantic anchor. Do not serve directly.</x:v>
      </x:c>
      <x:c r="G11" s="27" t="str">
        <x:v>AUTHORED</x:v>
      </x:c>
    </x:row>
    <x:row r="12">
      <x:c r="A12" s="27" t="str">
        <x:v>mercury|mars</x:v>
      </x:c>
      <x:c r="B12" s="27" t="str">
        <x:v>mercury</x:v>
      </x:c>
      <x:c r="C12" s="27" t="str">
        <x:v>mars</x:v>
      </x:c>
      <x:c r="D12" s="27" t="str">
        <x:v>Words and decisions meet action and conflict. Communication accelerates consequences and can quickly become the thing people act on.</x:v>
      </x:c>
      <x:c r="E12" s="27" t="str">
        <x:v>sky.mercury.conjunction.mars, sky.mercury.opposition.mars, sky.mercury.square.mars, sky.mercury.trine.mars, sky.mercury.sextile.mars</x:v>
      </x:c>
      <x:c r="F12" s="27" t="str">
        <x:v>Invariant semantic anchor. Do not serve directly.</x:v>
      </x:c>
      <x:c r="G12" s="27" t="str">
        <x:v>AUTHORED</x:v>
      </x:c>
    </x:row>
    <x:row r="13">
      <x:c r="A13" s="27" t="str">
        <x:v>mercury|neptune</x:v>
      </x:c>
      <x:c r="B13" s="27" t="str">
        <x:v>mercury</x:v>
      </x:c>
      <x:c r="C13" s="27" t="str">
        <x:v>neptune</x:v>
      </x:c>
      <x:c r="D13" s="27" t="str">
        <x:v>Facts and language meet imagination, empathy, and ambiguity. A story can make meaning visible or make verification harder.</x:v>
      </x:c>
      <x:c r="E13" s="27" t="str">
        <x:v>sky.mercury.conjunction.neptune, sky.mercury.opposition.neptune, sky.mercury.square.neptune, sky.mercury.trine.neptune, sky.mercury.sextile.neptune</x:v>
      </x:c>
      <x:c r="F13" s="27" t="str">
        <x:v>Invariant semantic anchor. Do not serve directly.</x:v>
      </x:c>
      <x:c r="G13" s="27" t="str">
        <x:v>AUTHORED</x:v>
      </x:c>
    </x:row>
    <x:row r="14">
      <x:c r="A14" s="27" t="str">
        <x:v>mercury|pluto</x:v>
      </x:c>
      <x:c r="B14" s="27" t="str">
        <x:v>mercury</x:v>
      </x:c>
      <x:c r="C14" s="27" t="str">
        <x:v>pluto</x:v>
      </x:c>
      <x:c r="D14" s="27" t="str">
        <x:v>Information meets secrecy and leverage. Questions expose who controls records, access, framing, or the official version of events.</x:v>
      </x:c>
      <x:c r="E14" s="27" t="str">
        <x:v>sky.mercury.conjunction.pluto, sky.mercury.opposition.pluto, sky.mercury.square.pluto, sky.mercury.trine.pluto, sky.mercury.sextile.pluto</x:v>
      </x:c>
      <x:c r="F14" s="27" t="str">
        <x:v>Invariant semantic anchor. Do not serve directly.</x:v>
      </x:c>
      <x:c r="G14" s="27" t="str">
        <x:v>AUTHORED</x:v>
      </x:c>
    </x:row>
    <x:row r="15">
      <x:c r="A15" s="27" t="str">
        <x:v>mercury|saturn</x:v>
      </x:c>
      <x:c r="B15" s="27" t="str">
        <x:v>mercury</x:v>
      </x:c>
      <x:c r="C15" s="27" t="str">
        <x:v>saturn</x:v>
      </x:c>
      <x:c r="D15" s="27" t="str">
        <x:v>Communication meets rules, proof, and authority. The answer is constrained by what can be documented, approved, scheduled, or defended.</x:v>
      </x:c>
      <x:c r="E15" s="27" t="str">
        <x:v>sky.mercury.conjunction.saturn, sky.mercury.opposition.saturn, sky.mercury.square.saturn, sky.mercury.trine.saturn, sky.mercury.sextile.saturn</x:v>
      </x:c>
      <x:c r="F15" s="27" t="str">
        <x:v>Invariant semantic anchor. Do not serve directly.</x:v>
      </x:c>
      <x:c r="G15" s="27" t="str">
        <x:v>AUTHORED</x:v>
      </x:c>
    </x:row>
    <x:row r="16">
      <x:c r="A16" s="27" t="str">
        <x:v>mercury|uranus</x:v>
      </x:c>
      <x:c r="B16" s="27" t="str">
        <x:v>mercury</x:v>
      </x:c>
      <x:c r="C16" s="27" t="str">
        <x:v>uranus</x:v>
      </x:c>
      <x:c r="D16" s="27" t="str">
        <x:v>Information meets disruption and innovation. Unexpected news or a new method can change the direction of the conversation quickly.</x:v>
      </x:c>
      <x:c r="E16" s="27" t="str">
        <x:v>sky.mercury.conjunction.uranus, sky.mercury.opposition.uranus, sky.mercury.square.uranus, sky.mercury.trine.uranus, sky.mercury.sextile.uranus</x:v>
      </x:c>
      <x:c r="F16" s="27" t="str">
        <x:v>Invariant semantic anchor. Do not serve directly.</x:v>
      </x:c>
      <x:c r="G16" s="27" t="str">
        <x:v>AUTHORED</x:v>
      </x:c>
    </x:row>
    <x:row r="17">
      <x:c r="A17" s="27" t="str">
        <x:v>mercury|venus</x:v>
      </x:c>
      <x:c r="B17" s="27" t="str">
        <x:v>mercury</x:v>
      </x:c>
      <x:c r="C17" s="27" t="str">
        <x:v>venus</x:v>
      </x:c>
      <x:c r="D17" s="27" t="str">
        <x:v>Communication meets value, agreement, and relationship. Wording can protect goodwill, clarify price, or change the terms of an exchange.</x:v>
      </x:c>
      <x:c r="E17" s="27" t="str">
        <x:v>sky.mercury.conjunction.venus, sky.mercury.sextile.venus</x:v>
      </x:c>
      <x:c r="F17" s="27" t="str">
        <x:v>Invariant semantic anchor. Do not serve directly.</x:v>
      </x:c>
      <x:c r="G17" s="27" t="str">
        <x:v>AUTHORED</x:v>
      </x:c>
    </x:row>
    <x:row r="18">
      <x:c r="A18" s="27" t="str">
        <x:v>moon|jupiter</x:v>
      </x:c>
      <x:c r="B18" s="27" t="str">
        <x:v>moon</x:v>
      </x:c>
      <x:c r="C18" s="27" t="str">
        <x:v>jupiter</x:v>
      </x:c>
      <x:c r="D18" s="27" t="str">
        <x:v>Immediate needs and collective mood meet expansion. Generosity, appetite, reaction, and expectation all become easier to enlarge.</x:v>
      </x:c>
      <x:c r="E18" s="27" t="str">
        <x:v>sky.moon.conjunction.jupiter, sky.moon.opposition.jupiter, sky.moon.square.jupiter, sky.moon.trine.jupiter, sky.moon.sextile.jupiter</x:v>
      </x:c>
      <x:c r="F18" s="27" t="str">
        <x:v>Invariant semantic anchor. Do not serve directly.</x:v>
      </x:c>
      <x:c r="G18" s="27" t="str">
        <x:v>AUTHORED</x:v>
      </x:c>
    </x:row>
    <x:row r="19">
      <x:c r="A19" s="27" t="str">
        <x:v>moon|mars</x:v>
      </x:c>
      <x:c r="B19" s="27" t="str">
        <x:v>moon</x:v>
      </x:c>
      <x:c r="C19" s="27" t="str">
        <x:v>mars</x:v>
      </x:c>
      <x:c r="D19" s="27" t="str">
        <x:v>Immediate needs and emotional reactions meet action. Concern, anger, protection, or impatience quickly becomes behavior.</x:v>
      </x:c>
      <x:c r="E19" s="27" t="str">
        <x:v>sky.moon.conjunction.mars, sky.moon.opposition.mars, sky.moon.square.mars, sky.moon.trine.mars, sky.moon.sextile.mars</x:v>
      </x:c>
      <x:c r="F19" s="27" t="str">
        <x:v>Invariant semantic anchor. Do not serve directly.</x:v>
      </x:c>
      <x:c r="G19" s="27" t="str">
        <x:v>AUTHORED</x:v>
      </x:c>
    </x:row>
    <x:row r="20">
      <x:c r="A20" s="27" t="str">
        <x:v>moon|mercury</x:v>
      </x:c>
      <x:c r="B20" s="27" t="str">
        <x:v>moon</x:v>
      </x:c>
      <x:c r="C20" s="27" t="str">
        <x:v>mercury</x:v>
      </x:c>
      <x:c r="D20" s="27" t="str">
        <x:v>Mood and immediate needs meet information. What people hear changes how they react, and the reaction changes the conversation.</x:v>
      </x:c>
      <x:c r="E20" s="27" t="str">
        <x:v>sky.moon.conjunction.mercury, sky.moon.opposition.mercury, sky.moon.square.mercury, sky.moon.trine.mercury, sky.moon.sextile.mercury</x:v>
      </x:c>
      <x:c r="F20" s="27" t="str">
        <x:v>Invariant semantic anchor. Do not serve directly.</x:v>
      </x:c>
      <x:c r="G20" s="27" t="str">
        <x:v>AUTHORED</x:v>
      </x:c>
    </x:row>
    <x:row r="21">
      <x:c r="A21" s="27" t="str">
        <x:v>moon|neptune</x:v>
      </x:c>
      <x:c r="B21" s="27" t="str">
        <x:v>moon</x:v>
      </x:c>
      <x:c r="C21" s="27" t="str">
        <x:v>neptune</x:v>
      </x:c>
      <x:c r="D21" s="27" t="str">
        <x:v>Immediate feeling meets empathy, imagination, and uncertainty. The collective mood can become compassionate, suggestible, or difficult to verify.</x:v>
      </x:c>
      <x:c r="E21" s="27" t="str">
        <x:v>sky.moon.conjunction.neptune, sky.moon.opposition.neptune, sky.moon.square.neptune, sky.moon.trine.neptune, sky.moon.sextile.neptune</x:v>
      </x:c>
      <x:c r="F21" s="27" t="str">
        <x:v>Invariant semantic anchor. Do not serve directly.</x:v>
      </x:c>
      <x:c r="G21" s="27" t="str">
        <x:v>AUTHORED</x:v>
      </x:c>
    </x:row>
    <x:row r="22">
      <x:c r="A22" s="27" t="str">
        <x:v>moon|pluto</x:v>
      </x:c>
      <x:c r="B22" s="27" t="str">
        <x:v>moon</x:v>
      </x:c>
      <x:c r="C22" s="27" t="str">
        <x:v>pluto</x:v>
      </x:c>
      <x:c r="D22" s="27" t="str">
        <x:v>Immediate reaction meets power and leverage. An emotional event exposes who can enforce the outcome or control what happens next.</x:v>
      </x:c>
      <x:c r="E22" s="27" t="str">
        <x:v>sky.moon.conjunction.pluto, sky.moon.opposition.pluto, sky.moon.square.pluto, sky.moon.trine.pluto, sky.moon.sextile.pluto</x:v>
      </x:c>
      <x:c r="F22" s="27" t="str">
        <x:v>Invariant semantic anchor. Do not serve directly.</x:v>
      </x:c>
      <x:c r="G22" s="27" t="str">
        <x:v>AUTHORED</x:v>
      </x:c>
    </x:row>
    <x:row r="23">
      <x:c r="A23" s="27" t="str">
        <x:v>moon|saturn</x:v>
      </x:c>
      <x:c r="B23" s="27" t="str">
        <x:v>moon</x:v>
      </x:c>
      <x:c r="C23" s="27" t="str">
        <x:v>saturn</x:v>
      </x:c>
      <x:c r="D23" s="27" t="str">
        <x:v>Immediate needs meet duty and limits. Care, housing, work, family obligation, or a deadline becomes part of the structure of the day.</x:v>
      </x:c>
      <x:c r="E23" s="27" t="str">
        <x:v>sky.moon.conjunction.saturn, sky.moon.opposition.saturn, sky.moon.square.saturn, sky.moon.trine.saturn, sky.moon.sextile.saturn</x:v>
      </x:c>
      <x:c r="F23" s="27" t="str">
        <x:v>Invariant semantic anchor. Do not serve directly.</x:v>
      </x:c>
      <x:c r="G23" s="27" t="str">
        <x:v>AUTHORED</x:v>
      </x:c>
    </x:row>
    <x:row r="24">
      <x:c r="A24" s="27" t="str">
        <x:v>moon|uranus</x:v>
      </x:c>
      <x:c r="B24" s="27" t="str">
        <x:v>moon</x:v>
      </x:c>
      <x:c r="C24" s="27" t="str">
        <x:v>uranus</x:v>
      </x:c>
      <x:c r="D24" s="27" t="str">
        <x:v>Needs, routines, and public mood meet disruption. A sudden change forces people to adjust what had felt predictable.</x:v>
      </x:c>
      <x:c r="E24" s="27" t="str">
        <x:v>sky.moon.conjunction.uranus, sky.moon.opposition.uranus, sky.moon.square.uranus, sky.moon.trine.uranus, sky.moon.sextile.uranus</x:v>
      </x:c>
      <x:c r="F24" s="27" t="str">
        <x:v>Invariant semantic anchor. Do not serve directly.</x:v>
      </x:c>
      <x:c r="G24" s="27" t="str">
        <x:v>AUTHORED</x:v>
      </x:c>
    </x:row>
    <x:row r="25">
      <x:c r="A25" s="27" t="str">
        <x:v>moon|venus</x:v>
      </x:c>
      <x:c r="B25" s="27" t="str">
        <x:v>moon</x:v>
      </x:c>
      <x:c r="C25" s="27" t="str">
        <x:v>venus</x:v>
      </x:c>
      <x:c r="D25" s="27" t="str">
        <x:v>Needs and care meet value, comfort, and relationship. Affection and fairness become visible through money, effort, attention, or practical support.</x:v>
      </x:c>
      <x:c r="E25" s="27" t="str">
        <x:v>sky.moon.conjunction.venus, sky.moon.opposition.venus, sky.moon.square.venus, sky.moon.trine.venus, sky.moon.sextile.venus</x:v>
      </x:c>
      <x:c r="F25" s="27" t="str">
        <x:v>Invariant semantic anchor. Do not serve directly.</x:v>
      </x:c>
      <x:c r="G25" s="27" t="str">
        <x:v>AUTHORED</x:v>
      </x:c>
    </x:row>
    <x:row r="26">
      <x:c r="A26" s="27" t="str">
        <x:v>neptune|pluto</x:v>
      </x:c>
      <x:c r="B26" s="27" t="str">
        <x:v>neptune</x:v>
      </x:c>
      <x:c r="C26" s="27" t="str">
        <x:v>pluto</x:v>
      </x:c>
      <x:c r="D26" s="27" t="str">
        <x:v>Ideals and public narratives meet hidden power. Compassion can expose a control structure or become the story that protects it.</x:v>
      </x:c>
      <x:c r="E26" s="27" t="str">
        <x:v>sky.neptune.conjunction.pluto, sky.neptune.opposition.pluto, sky.neptune.square.pluto, sky.neptune.trine.pluto, sky.neptune.sextile.pluto</x:v>
      </x:c>
      <x:c r="F26" s="27" t="str">
        <x:v>Invariant semantic anchor. Do not serve directly.</x:v>
      </x:c>
      <x:c r="G26" s="27" t="str">
        <x:v>AUTHORED</x:v>
      </x:c>
    </x:row>
    <x:row r="27">
      <x:c r="A27" s="27" t="str">
        <x:v>saturn|lilith</x:v>
      </x:c>
      <x:c r="B27" s="27" t="str">
        <x:v>saturn</x:v>
      </x:c>
      <x:c r="C27" s="27" t="str">
        <x:v>lilith</x:v>
      </x:c>
      <x:c r="D27" s="27" t="str">
        <x:v>Rules, hierarchy, and consequence meet refusal to comply. Pressure to conform reveals the boundary someone or a group will not trade away.</x:v>
      </x:c>
      <x:c r="E27" s="27" t="str">
        <x:v>sky.saturn.square.lilith</x:v>
      </x:c>
      <x:c r="F27" s="27" t="str">
        <x:v>Invariant semantic anchor. Do not serve directly.</x:v>
      </x:c>
      <x:c r="G27" s="27" t="str">
        <x:v>AUTHORED</x:v>
      </x:c>
    </x:row>
    <x:row r="28">
      <x:c r="A28" s="27" t="str">
        <x:v>saturn|neptune</x:v>
      </x:c>
      <x:c r="B28" s="27" t="str">
        <x:v>saturn</x:v>
      </x:c>
      <x:c r="C28" s="27" t="str">
        <x:v>neptune</x:v>
      </x:c>
      <x:c r="D28" s="27" t="str">
        <x:v>Limits and accountability meet ambiguity and ideal. A vague vision either gains usable structure or reveals where responsibility has dissolved.</x:v>
      </x:c>
      <x:c r="E28" s="27" t="str">
        <x:v>sky.saturn.conjunction.neptune, sky.saturn.opposition.neptune, sky.saturn.square.neptune, sky.saturn.trine.neptune, sky.saturn.sextile.neptune</x:v>
      </x:c>
      <x:c r="F28" s="27" t="str">
        <x:v>Invariant semantic anchor. Do not serve directly.</x:v>
      </x:c>
      <x:c r="G28" s="27" t="str">
        <x:v>AUTHORED</x:v>
      </x:c>
    </x:row>
    <x:row r="29">
      <x:c r="A29" s="27" t="str">
        <x:v>saturn|pluto</x:v>
      </x:c>
      <x:c r="B29" s="27" t="str">
        <x:v>saturn</x:v>
      </x:c>
      <x:c r="C29" s="27" t="str">
        <x:v>pluto</x:v>
      </x:c>
      <x:c r="D29" s="27" t="str">
        <x:v>Formal authority meets concentrated leverage. Rules are tested against the people or institutions powerful enough to resist, bypass, or redefine them.</x:v>
      </x:c>
      <x:c r="E29" s="27" t="str">
        <x:v>sky.saturn.conjunction.pluto, sky.saturn.opposition.pluto, sky.saturn.square.pluto, sky.saturn.trine.pluto, sky.saturn.sextile.pluto</x:v>
      </x:c>
      <x:c r="F29" s="27" t="str">
        <x:v>Invariant semantic anchor. Do not serve directly.</x:v>
      </x:c>
      <x:c r="G29" s="27" t="str">
        <x:v>AUTHORED</x:v>
      </x:c>
    </x:row>
    <x:row r="30">
      <x:c r="A30" s="27" t="str">
        <x:v>saturn|uranus</x:v>
      </x:c>
      <x:c r="B30" s="27" t="str">
        <x:v>saturn</x:v>
      </x:c>
      <x:c r="C30" s="27" t="str">
        <x:v>uranus</x:v>
      </x:c>
      <x:c r="D30" s="27" t="str">
        <x:v>Structure meets disruption and reform. Change has to become workable, and rules have to prove they still solve the problem they were built for.</x:v>
      </x:c>
      <x:c r="E30" s="27" t="str">
        <x:v>sky.saturn.conjunction.uranus, sky.saturn.opposition.uranus, sky.saturn.square.uranus, sky.saturn.trine.uranus, sky.saturn.sextile.uranus</x:v>
      </x:c>
      <x:c r="F30" s="27" t="str">
        <x:v>Invariant semantic anchor. Do not serve directly.</x:v>
      </x:c>
      <x:c r="G30" s="27" t="str">
        <x:v>AUTHORED</x:v>
      </x:c>
    </x:row>
    <x:row r="31">
      <x:c r="A31" s="27" t="str">
        <x:v>sun|jupiter</x:v>
      </x:c>
      <x:c r="B31" s="27" t="str">
        <x:v>sun</x:v>
      </x:c>
      <x:c r="C31" s="27" t="str">
        <x:v>jupiter</x:v>
      </x:c>
      <x:c r="D31" s="27" t="str">
        <x:v>Leadership, visibility, and purpose meet expansion. Authority can widen reach, confidence, opportunity, or the size of the promise.</x:v>
      </x:c>
      <x:c r="E31" s="27" t="str">
        <x:v>sky.sun.conjunction.jupiter, sky.sun.opposition.jupiter, sky.sun.square.jupiter, sky.sun.trine.jupiter, sky.sun.sextile.jupiter</x:v>
      </x:c>
      <x:c r="F31" s="27" t="str">
        <x:v>Invariant semantic anchor. Do not serve directly.</x:v>
      </x:c>
      <x:c r="G31" s="27" t="str">
        <x:v>AUTHORED</x:v>
      </x:c>
    </x:row>
    <x:row r="32">
      <x:c r="A32" s="27" t="str">
        <x:v>sun|mars</x:v>
      </x:c>
      <x:c r="B32" s="27" t="str">
        <x:v>sun</x:v>
      </x:c>
      <x:c r="C32" s="27" t="str">
        <x:v>mars</x:v>
      </x:c>
      <x:c r="D32" s="27" t="str">
        <x:v>Leadership and direction meet action and force. A decision becomes execution, conflict, or a demand that someone act now.</x:v>
      </x:c>
      <x:c r="E32" s="27" t="str">
        <x:v>sky.sun.conjunction.mars, sky.sun.opposition.mars, sky.sun.square.mars, sky.sun.trine.mars, sky.sun.sextile.mars</x:v>
      </x:c>
      <x:c r="F32" s="27" t="str">
        <x:v>Invariant semantic anchor. Do not serve directly.</x:v>
      </x:c>
      <x:c r="G32" s="27" t="str">
        <x:v>AUTHORED</x:v>
      </x:c>
    </x:row>
    <x:row r="33">
      <x:c r="A33" s="27" t="str">
        <x:v>sun|mercury</x:v>
      </x:c>
      <x:c r="B33" s="27" t="str">
        <x:v>sun</x:v>
      </x:c>
      <x:c r="C33" s="27" t="str">
        <x:v>mercury</x:v>
      </x:c>
      <x:c r="D33" s="27" t="str">
        <x:v>Leadership and communication combine. The message, announcement, or decision becomes the public direction people are expected to follow.</x:v>
      </x:c>
      <x:c r="E33" s="27" t="str">
        <x:v>sky.sun.conjunction.mercury</x:v>
      </x:c>
      <x:c r="F33" s="27" t="str">
        <x:v>Invariant semantic anchor. Do not serve directly.</x:v>
      </x:c>
      <x:c r="G33" s="27" t="str">
        <x:v>AUTHORED</x:v>
      </x:c>
    </x:row>
    <x:row r="34">
      <x:c r="A34" s="27" t="str">
        <x:v>sun|moon</x:v>
      </x:c>
      <x:c r="B34" s="27" t="str">
        <x:v>sun</x:v>
      </x:c>
      <x:c r="C34" s="27" t="str">
        <x:v>moon</x:v>
      </x:c>
      <x:c r="D34" s="27" t="str">
        <x:v>Official direction meets immediate human needs and reaction. Leadership has to contend with how the decision actually lands in daily life.</x:v>
      </x:c>
      <x:c r="E34" s="27" t="str">
        <x:v>sky.sun.conjunction.moon, sky.sun.opposition.moon, sky.sun.square.moon, sky.sun.trine.moon, sky.sun.sextile.moon</x:v>
      </x:c>
      <x:c r="F34" s="27" t="str">
        <x:v>Invariant semantic anchor. Do not serve directly.</x:v>
      </x:c>
      <x:c r="G34" s="27" t="str">
        <x:v>AUTHORED</x:v>
      </x:c>
    </x:row>
    <x:row r="35">
      <x:c r="A35" s="27" t="str">
        <x:v>sun|neptune</x:v>
      </x:c>
      <x:c r="B35" s="27" t="str">
        <x:v>sun</x:v>
      </x:c>
      <x:c r="C35" s="27" t="str">
        <x:v>neptune</x:v>
      </x:c>
      <x:c r="D35" s="27" t="str">
        <x:v>Leadership and visibility meet ideal, image, and ambiguity. Authority can inspire people or make it harder to see what is actually being promised.</x:v>
      </x:c>
      <x:c r="E35" s="27" t="str">
        <x:v>sky.sun.conjunction.neptune, sky.sun.opposition.neptune, sky.sun.square.neptune, sky.sun.trine.neptune, sky.sun.sextile.neptune</x:v>
      </x:c>
      <x:c r="F35" s="27" t="str">
        <x:v>Invariant semantic anchor. Do not serve directly.</x:v>
      </x:c>
      <x:c r="G35" s="27" t="str">
        <x:v>AUTHORED</x:v>
      </x:c>
    </x:row>
    <x:row r="36">
      <x:c r="A36" s="27" t="str">
        <x:v>sun|pluto</x:v>
      </x:c>
      <x:c r="B36" s="27" t="str">
        <x:v>sun</x:v>
      </x:c>
      <x:c r="C36" s="27" t="str">
        <x:v>pluto</x:v>
      </x:c>
      <x:c r="D36" s="27" t="str">
        <x:v>Visible authority meets underlying power. Leadership confronts who controls access, resources, information, or the ability to override the decision.</x:v>
      </x:c>
      <x:c r="E36" s="27" t="str">
        <x:v>sky.sun.conjunction.pluto, sky.sun.opposition.pluto, sky.sun.square.pluto, sky.sun.trine.pluto, sky.sun.sextile.pluto</x:v>
      </x:c>
      <x:c r="F36" s="27" t="str">
        <x:v>Invariant semantic anchor. Do not serve directly.</x:v>
      </x:c>
      <x:c r="G36" s="27" t="str">
        <x:v>AUTHORED</x:v>
      </x:c>
    </x:row>
    <x:row r="37">
      <x:c r="A37" s="27" t="str">
        <x:v>sun|saturn</x:v>
      </x:c>
      <x:c r="B37" s="27" t="str">
        <x:v>sun</x:v>
      </x:c>
      <x:c r="C37" s="27" t="str">
        <x:v>saturn</x:v>
      </x:c>
      <x:c r="D37" s="27" t="str">
        <x:v>Authority meets duty, limits, and consequence. Recognition and responsibility become inseparable parts of the same role.</x:v>
      </x:c>
      <x:c r="E37" s="27" t="str">
        <x:v>sky.sun.conjunction.saturn, sky.sun.opposition.saturn, sky.sun.square.saturn, sky.sun.trine.saturn, sky.sun.sextile.saturn</x:v>
      </x:c>
      <x:c r="F37" s="27" t="str">
        <x:v>Invariant semantic anchor. Do not serve directly.</x:v>
      </x:c>
      <x:c r="G37" s="27" t="str">
        <x:v>AUTHORED</x:v>
      </x:c>
    </x:row>
    <x:row r="38">
      <x:c r="A38" s="27" t="str">
        <x:v>sun|uranus</x:v>
      </x:c>
      <x:c r="B38" s="27" t="str">
        <x:v>sun</x:v>
      </x:c>
      <x:c r="C38" s="27" t="str">
        <x:v>uranus</x:v>
      </x:c>
      <x:c r="D38" s="27" t="str">
        <x:v>Leadership meets disruption and independence. Sudden change challenges who sets the direction and which commitments can still hold.</x:v>
      </x:c>
      <x:c r="E38" s="27" t="str">
        <x:v>sky.sun.conjunction.uranus, sky.sun.opposition.uranus, sky.sun.square.uranus, sky.sun.trine.uranus, sky.sun.sextile.uranus</x:v>
      </x:c>
      <x:c r="F38" s="27" t="str">
        <x:v>Invariant semantic anchor. Do not serve directly.</x:v>
      </x:c>
      <x:c r="G38" s="27" t="str">
        <x:v>AUTHORED</x:v>
      </x:c>
    </x:row>
    <x:row r="39">
      <x:c r="A39" s="27" t="str">
        <x:v>sun|venus</x:v>
      </x:c>
      <x:c r="B39" s="27" t="str">
        <x:v>sun</x:v>
      </x:c>
      <x:c r="C39" s="27" t="str">
        <x:v>venus</x:v>
      </x:c>
      <x:c r="D39" s="27" t="str">
        <x:v>Leadership and visibility meet value, agreement, and relationship. Recognition, money, diplomacy, or public goodwill becomes part of the decision.</x:v>
      </x:c>
      <x:c r="E39" s="27" t="str">
        <x:v>sky.sun.conjunction.venus</x:v>
      </x:c>
      <x:c r="F39" s="27" t="str">
        <x:v>Invariant semantic anchor. Do not serve directly.</x:v>
      </x:c>
      <x:c r="G39" s="27" t="str">
        <x:v>AUTHORED</x:v>
      </x:c>
    </x:row>
    <x:row r="40">
      <x:c r="A40" s="27" t="str">
        <x:v>uranus|neptune</x:v>
      </x:c>
      <x:c r="B40" s="27" t="str">
        <x:v>uranus</x:v>
      </x:c>
      <x:c r="C40" s="27" t="str">
        <x:v>neptune</x:v>
      </x:c>
      <x:c r="D40" s="27" t="str">
        <x:v>Disruption and technology meet ideals and collective feeling. New tools can change how people imagine, understand, or respond to a shared problem.</x:v>
      </x:c>
      <x:c r="E40" s="27" t="str">
        <x:v>sky.uranus.conjunction.neptune, sky.uranus.opposition.neptune, sky.uranus.square.neptune, sky.uranus.trine.neptune, sky.uranus.sextile.neptune</x:v>
      </x:c>
      <x:c r="F40" s="27" t="str">
        <x:v>Invariant semantic anchor. Do not serve directly.</x:v>
      </x:c>
      <x:c r="G40" s="27" t="str">
        <x:v>AUTHORED</x:v>
      </x:c>
    </x:row>
    <x:row r="41">
      <x:c r="A41" s="27" t="str">
        <x:v>uranus|pluto</x:v>
      </x:c>
      <x:c r="B41" s="27" t="str">
        <x:v>uranus</x:v>
      </x:c>
      <x:c r="C41" s="27" t="str">
        <x:v>pluto</x:v>
      </x:c>
      <x:c r="D41" s="27" t="str">
        <x:v>Disruption meets structural power. Technology, ownership, or system change redistributes who has access, control, and the ability to decide.</x:v>
      </x:c>
      <x:c r="E41" s="27" t="str">
        <x:v>sky.uranus.conjunction.pluto, sky.uranus.opposition.pluto, sky.uranus.square.pluto, sky.uranus.trine.pluto, sky.uranus.sextile.pluto</x:v>
      </x:c>
      <x:c r="F41" s="27" t="str">
        <x:v>Invariant semantic anchor. Do not serve directly.</x:v>
      </x:c>
      <x:c r="G41" s="27" t="str">
        <x:v>AUTHORED</x:v>
      </x:c>
    </x:row>
    <x:row r="42">
      <x:c r="A42" s="27" t="str">
        <x:v>venus|jupiter</x:v>
      </x:c>
      <x:c r="B42" s="27" t="str">
        <x:v>venus</x:v>
      </x:c>
      <x:c r="C42" s="27" t="str">
        <x:v>jupiter</x:v>
      </x:c>
      <x:c r="D42" s="27" t="str">
        <x:v>Value, relationship, and money meet expansion. Generosity, opportunity, pleasure, spending, or public support becomes easier to enlarge.</x:v>
      </x:c>
      <x:c r="E42" s="27" t="str">
        <x:v>sky.venus.conjunction.jupiter, sky.venus.opposition.jupiter, sky.venus.square.jupiter, sky.venus.trine.jupiter, sky.venus.sextile.jupiter</x:v>
      </x:c>
      <x:c r="F42" s="27" t="str">
        <x:v>Invariant semantic anchor. Do not serve directly.</x:v>
      </x:c>
      <x:c r="G42" s="27" t="str">
        <x:v>AUTHORED</x:v>
      </x:c>
    </x:row>
    <x:row r="43">
      <x:c r="A43" s="27" t="str">
        <x:v>venus|mars</x:v>
      </x:c>
      <x:c r="B43" s="27" t="str">
        <x:v>venus</x:v>
      </x:c>
      <x:c r="C43" s="27" t="str">
        <x:v>mars</x:v>
      </x:c>
      <x:c r="D43" s="27" t="str">
        <x:v>Value and attraction meet action. Desire becomes initiative, negotiation, pursuit, or visible contribution.</x:v>
      </x:c>
      <x:c r="E43" s="27" t="str">
        <x:v>sky.venus.conjunction.mars, sky.venus.opposition.mars, sky.venus.square.mars, sky.venus.trine.mars, sky.venus.sextile.mars</x:v>
      </x:c>
      <x:c r="F43" s="27" t="str">
        <x:v>Invariant semantic anchor. Do not serve directly.</x:v>
      </x:c>
      <x:c r="G43" s="27" t="str">
        <x:v>AUTHORED</x:v>
      </x:c>
    </x:row>
    <x:row r="44">
      <x:c r="A44" s="27" t="str">
        <x:v>venus|neptune</x:v>
      </x:c>
      <x:c r="B44" s="27" t="str">
        <x:v>venus</x:v>
      </x:c>
      <x:c r="C44" s="27" t="str">
        <x:v>neptune</x:v>
      </x:c>
      <x:c r="D44" s="27" t="str">
        <x:v>Value and relationship meet idealization and compassion. Beauty and goodwill can inspire generosity or blur the terms people thought they agreed to.</x:v>
      </x:c>
      <x:c r="E44" s="27" t="str">
        <x:v>sky.venus.conjunction.neptune, sky.venus.opposition.neptune, sky.venus.square.neptune, sky.venus.trine.neptune, sky.venus.sextile.neptune</x:v>
      </x:c>
      <x:c r="F44" s="27" t="str">
        <x:v>Invariant semantic anchor. Do not serve directly.</x:v>
      </x:c>
      <x:c r="G44" s="27" t="str">
        <x:v>AUTHORED</x:v>
      </x:c>
    </x:row>
    <x:row r="45">
      <x:c r="A45" s="27" t="str">
        <x:v>venus|pluto</x:v>
      </x:c>
      <x:c r="B45" s="27" t="str">
        <x:v>venus</x:v>
      </x:c>
      <x:c r="C45" s="27" t="str">
        <x:v>pluto</x:v>
      </x:c>
      <x:c r="D45" s="27" t="str">
        <x:v>Value and attachment meet power and leverage. Money, loyalty, ownership, intimacy, or shared assets carry deeper consequences.</x:v>
      </x:c>
      <x:c r="E45" s="27" t="str">
        <x:v>sky.venus.conjunction.pluto, sky.venus.opposition.pluto, sky.venus.square.pluto, sky.venus.trine.pluto, sky.venus.sextile.pluto</x:v>
      </x:c>
      <x:c r="F45" s="27" t="str">
        <x:v>Invariant semantic anchor. Do not serve directly.</x:v>
      </x:c>
      <x:c r="G45" s="27" t="str">
        <x:v>AUTHORED</x:v>
      </x:c>
    </x:row>
    <x:row r="46">
      <x:c r="A46" s="27" t="str">
        <x:v>venus|saturn</x:v>
      </x:c>
      <x:c r="B46" s="27" t="str">
        <x:v>venus</x:v>
      </x:c>
      <x:c r="C46" s="27" t="str">
        <x:v>saturn</x:v>
      </x:c>
      <x:c r="D46" s="27" t="str">
        <x:v>Value and relationship meet limits and commitment. Appreciation, money, or affection is tested by time, rules, responsibility, or what can actually be sustained.</x:v>
      </x:c>
      <x:c r="E46" s="27" t="str">
        <x:v>sky.venus.conjunction.saturn, sky.venus.opposition.saturn, sky.venus.square.saturn, sky.venus.trine.saturn, sky.venus.sextile.saturn</x:v>
      </x:c>
      <x:c r="F46" s="27" t="str">
        <x:v>Invariant semantic anchor. Do not serve directly.</x:v>
      </x:c>
      <x:c r="G46" s="27" t="str">
        <x:v>AUTHORED</x:v>
      </x:c>
    </x:row>
    <x:row r="47">
      <x:c r="A47" s="27" t="str">
        <x:v>venus|uranus</x:v>
      </x:c>
      <x:c r="B47" s="27" t="str">
        <x:v>venus</x:v>
      </x:c>
      <x:c r="C47" s="27" t="str">
        <x:v>uranus</x:v>
      </x:c>
      <x:c r="D47" s="27" t="str">
        <x:v>Value and agreement meet disruption and freedom. Terms change unexpectedly, creating either instability or a workable new arrangement.</x:v>
      </x:c>
      <x:c r="E47" s="27" t="str">
        <x:v>sky.venus.conjunction.uranus, sky.venus.opposition.uranus, sky.venus.square.uranus, sky.venus.trine.uranus, sky.venus.sextile.uranus</x:v>
      </x:c>
      <x:c r="F47" s="27" t="str">
        <x:v>Invariant semantic anchor. Do not serve directly.</x:v>
      </x:c>
      <x:c r="G47" s="27" t="str">
        <x:v>AUTHORED</x:v>
      </x:c>
    </x:row>
    <x:row r="48">
      <x:c r="A48" s="27"/>
      <x:c r="B48" s="27"/>
      <x:c r="C48" s="27"/>
      <x:c r="D48" s="27"/>
      <x:c r="E48" s="27"/>
      <x:c r="F48" s="27"/>
      <x:c r="G48" s="27"/>
    </x:row>
    <x:row r="49">
      <x:c r="A49" s="27"/>
      <x:c r="B49" s="27"/>
      <x:c r="C49" s="27"/>
      <x:c r="D49" s="27"/>
      <x:c r="E49" s="27"/>
      <x:c r="F49" s="27"/>
      <x:c r="G49" s="27"/>
    </x:row>
    <x:row r="50">
      <x:c r="A50" s="27"/>
      <x:c r="B50" s="27"/>
      <x:c r="C50" s="27"/>
      <x:c r="D50" s="27"/>
      <x:c r="E50" s="27"/>
      <x:c r="F50" s="27"/>
      <x:c r="G50" s="27"/>
    </x:row>
    <x:row r="51">
      <x:c r="A51" s="27"/>
      <x:c r="B51" s="27"/>
      <x:c r="C51" s="27"/>
      <x:c r="D51" s="27"/>
      <x:c r="E51" s="27"/>
      <x:c r="F51" s="27"/>
      <x:c r="G51" s="27"/>
    </x:row>
    <x:row r="52">
      <x:c r="A52" s="27"/>
      <x:c r="B52" s="27"/>
      <x:c r="C52" s="27"/>
      <x:c r="D52" s="27"/>
      <x:c r="E52" s="27"/>
      <x:c r="F52" s="27"/>
      <x:c r="G52" s="27"/>
    </x:row>
    <x:row r="53">
      <x:c r="A53" s="27"/>
      <x:c r="B53" s="27"/>
      <x:c r="C53" s="27"/>
      <x:c r="D53" s="27"/>
      <x:c r="E53" s="27"/>
      <x:c r="F53" s="27"/>
      <x:c r="G53" s="27"/>
    </x:row>
    <x:row r="54">
      <x:c r="A54" s="27"/>
      <x:c r="B54" s="27"/>
      <x:c r="C54" s="27"/>
      <x:c r="D54" s="27"/>
      <x:c r="E54" s="27"/>
      <x:c r="F54" s="27"/>
      <x:c r="G54" s="27"/>
    </x:row>
    <x:row r="55">
      <x:c r="A55" s="27"/>
      <x:c r="B55" s="27"/>
      <x:c r="C55" s="27"/>
      <x:c r="D55" s="27"/>
      <x:c r="E55" s="27"/>
      <x:c r="F55" s="27"/>
      <x:c r="G55" s="27"/>
    </x:row>
    <x:row r="56">
      <x:c r="A56" s="27"/>
      <x:c r="B56" s="27"/>
      <x:c r="C56" s="27"/>
      <x:c r="D56" s="27"/>
      <x:c r="E56" s="27"/>
      <x:c r="F56" s="27"/>
      <x:c r="G56" s="27"/>
    </x:row>
    <x:row r="57">
      <x:c r="A57" s="27"/>
      <x:c r="B57" s="27"/>
      <x:c r="C57" s="27"/>
      <x:c r="D57" s="27"/>
      <x:c r="E57" s="27"/>
      <x:c r="F57" s="27"/>
      <x:c r="G57" s="27"/>
    </x:row>
    <x:row r="58">
      <x:c r="A58" s="27"/>
      <x:c r="B58" s="27"/>
      <x:c r="C58" s="27"/>
      <x:c r="D58" s="27"/>
      <x:c r="E58" s="27"/>
      <x:c r="F58" s="27"/>
      <x:c r="G58" s="27"/>
    </x:row>
    <x:row r="59">
      <x:c r="A59" s="27"/>
      <x:c r="B59" s="27"/>
      <x:c r="C59" s="27"/>
      <x:c r="D59" s="27"/>
      <x:c r="E59" s="27"/>
      <x:c r="F59" s="27"/>
      <x:c r="G59" s="27"/>
    </x:row>
    <x:row r="60">
      <x:c r="A60" s="27"/>
      <x:c r="B60" s="27"/>
      <x:c r="C60" s="27"/>
      <x:c r="D60" s="27"/>
      <x:c r="E60" s="27"/>
      <x:c r="F60" s="27"/>
      <x:c r="G60" s="27"/>
    </x:row>
    <x:row r="61">
      <x:c r="A61" s="27"/>
      <x:c r="B61" s="27"/>
      <x:c r="C61" s="27"/>
      <x:c r="D61" s="27"/>
      <x:c r="E61" s="27"/>
      <x:c r="F61" s="27"/>
      <x:c r="G61" s="27"/>
    </x:row>
    <x:row r="62">
      <x:c r="A62" s="27"/>
      <x:c r="B62" s="27"/>
      <x:c r="C62" s="27"/>
      <x:c r="D62" s="27"/>
      <x:c r="E62" s="27"/>
      <x:c r="F62" s="27"/>
      <x:c r="G62" s="27"/>
    </x:row>
    <x:row r="63">
      <x:c r="A63" s="27"/>
      <x:c r="B63" s="27"/>
      <x:c r="C63" s="27"/>
      <x:c r="D63" s="27"/>
      <x:c r="E63" s="27"/>
      <x:c r="F63" s="27"/>
      <x:c r="G63" s="27"/>
    </x:row>
    <x:row r="64">
      <x:c r="A64" s="27"/>
      <x:c r="B64" s="27"/>
      <x:c r="C64" s="27"/>
      <x:c r="D64" s="27"/>
      <x:c r="E64" s="27"/>
      <x:c r="F64" s="27"/>
      <x:c r="G64" s="27"/>
    </x:row>
    <x:row r="65">
      <x:c r="A65" s="27"/>
      <x:c r="B65" s="27"/>
      <x:c r="C65" s="27"/>
      <x:c r="D65" s="27"/>
      <x:c r="E65" s="27"/>
      <x:c r="F65" s="27"/>
      <x:c r="G65" s="27"/>
    </x:row>
    <x:row r="66">
      <x:c r="A66" s="27"/>
      <x:c r="B66" s="27"/>
      <x:c r="C66" s="27"/>
      <x:c r="D66" s="27"/>
      <x:c r="E66" s="27"/>
      <x:c r="F66" s="27"/>
      <x:c r="G66" s="27"/>
    </x:row>
    <x:row r="67">
      <x:c r="A67" s="27"/>
      <x:c r="B67" s="27"/>
      <x:c r="C67" s="27"/>
      <x:c r="D67" s="27"/>
      <x:c r="E67" s="27"/>
      <x:c r="F67" s="27"/>
      <x:c r="G67" s="27"/>
    </x:row>
    <x:row r="68">
      <x:c r="A68" s="27"/>
      <x:c r="B68" s="27"/>
      <x:c r="C68" s="27"/>
      <x:c r="D68" s="27"/>
      <x:c r="E68" s="27"/>
      <x:c r="F68" s="27"/>
      <x:c r="G68" s="27"/>
    </x:row>
    <x:row r="69">
      <x:c r="A69" s="27"/>
      <x:c r="B69" s="27"/>
      <x:c r="C69" s="27"/>
      <x:c r="D69" s="27"/>
      <x:c r="E69" s="27"/>
      <x:c r="F69" s="27"/>
      <x:c r="G69" s="27"/>
    </x:row>
    <x:row r="70">
      <x:c r="A70" s="27"/>
      <x:c r="B70" s="27"/>
      <x:c r="C70" s="27"/>
      <x:c r="D70" s="27"/>
      <x:c r="E70" s="27"/>
      <x:c r="F70" s="27"/>
      <x:c r="G70" s="27"/>
    </x:row>
    <x:row r="71">
      <x:c r="A71" s="27"/>
      <x:c r="B71" s="27"/>
      <x:c r="C71" s="27"/>
      <x:c r="D71" s="27"/>
      <x:c r="E71" s="27"/>
      <x:c r="F71" s="27"/>
      <x:c r="G71" s="27"/>
    </x:row>
    <x:row r="72">
      <x:c r="A72" s="27"/>
      <x:c r="B72" s="27"/>
      <x:c r="C72" s="27"/>
      <x:c r="D72" s="27"/>
      <x:c r="E72" s="27"/>
      <x:c r="F72" s="27"/>
      <x:c r="G72" s="27"/>
    </x:row>
    <x:row r="73">
      <x:c r="A73" s="27"/>
      <x:c r="B73" s="27"/>
      <x:c r="C73" s="27"/>
      <x:c r="D73" s="27"/>
      <x:c r="E73" s="27"/>
      <x:c r="F73" s="27"/>
      <x:c r="G73" s="27"/>
    </x:row>
    <x:row r="74">
      <x:c r="A74" s="27"/>
      <x:c r="B74" s="27"/>
      <x:c r="C74" s="27"/>
      <x:c r="D74" s="27"/>
      <x:c r="E74" s="27"/>
      <x:c r="F74" s="27"/>
      <x:c r="G74" s="27"/>
    </x:row>
    <x:row r="75">
      <x:c r="A75" s="27"/>
      <x:c r="B75" s="27"/>
      <x:c r="C75" s="27"/>
      <x:c r="D75" s="27"/>
      <x:c r="E75" s="27"/>
      <x:c r="F75" s="27"/>
      <x:c r="G75" s="27"/>
    </x:row>
    <x:row r="76">
      <x:c r="A76" s="27"/>
      <x:c r="B76" s="27"/>
      <x:c r="C76" s="27"/>
      <x:c r="D76" s="27"/>
      <x:c r="E76" s="27"/>
      <x:c r="F76" s="27"/>
      <x:c r="G76" s="27"/>
    </x:row>
    <x:row r="77">
      <x:c r="A77" s="27"/>
      <x:c r="B77" s="27"/>
      <x:c r="C77" s="27"/>
      <x:c r="D77" s="27"/>
      <x:c r="E77" s="27"/>
      <x:c r="F77" s="27"/>
      <x:c r="G77" s="27"/>
    </x:row>
    <x:row r="78">
      <x:c r="A78" s="27"/>
      <x:c r="B78" s="27"/>
      <x:c r="C78" s="27"/>
      <x:c r="D78" s="27"/>
      <x:c r="E78" s="27"/>
      <x:c r="F78" s="27"/>
      <x:c r="G78" s="27"/>
    </x:row>
    <x:row r="79">
      <x:c r="A79" s="27"/>
      <x:c r="B79" s="27"/>
      <x:c r="C79" s="27"/>
      <x:c r="D79" s="27"/>
      <x:c r="E79" s="27"/>
      <x:c r="F79" s="27"/>
      <x:c r="G79" s="27"/>
    </x:row>
    <x:row r="80">
      <x:c r="A80" s="27"/>
      <x:c r="B80" s="27"/>
      <x:c r="C80" s="27"/>
      <x:c r="D80" s="27"/>
      <x:c r="E80" s="27"/>
      <x:c r="F80" s="27"/>
      <x:c r="G80" s="27"/>
    </x:row>
    <x:row r="81">
      <x:c r="A81" s="27"/>
      <x:c r="B81" s="27"/>
      <x:c r="C81" s="27"/>
      <x:c r="D81" s="27"/>
      <x:c r="E81" s="27"/>
      <x:c r="F81" s="27"/>
      <x:c r="G81" s="27"/>
    </x:row>
    <x:row r="82">
      <x:c r="A82" s="27"/>
      <x:c r="B82" s="27"/>
      <x:c r="C82" s="27"/>
      <x:c r="D82" s="27"/>
      <x:c r="E82" s="27"/>
      <x:c r="F82" s="27"/>
      <x:c r="G82" s="27"/>
    </x:row>
    <x:row r="83">
      <x:c r="A83" s="27"/>
      <x:c r="B83" s="27"/>
      <x:c r="C83" s="27"/>
      <x:c r="D83" s="27"/>
      <x:c r="E83" s="27"/>
      <x:c r="F83" s="27"/>
      <x:c r="G83" s="27"/>
    </x:row>
    <x:row r="84">
      <x:c r="A84" s="27"/>
      <x:c r="B84" s="27"/>
      <x:c r="C84" s="27"/>
      <x:c r="D84" s="27"/>
      <x:c r="E84" s="27"/>
      <x:c r="F84" s="27"/>
      <x:c r="G84" s="27"/>
    </x:row>
    <x:row r="85">
      <x:c r="A85" s="27"/>
      <x:c r="B85" s="27"/>
      <x:c r="C85" s="27"/>
      <x:c r="D85" s="27"/>
      <x:c r="E85" s="27"/>
      <x:c r="F85" s="27"/>
      <x:c r="G85" s="27"/>
    </x:row>
    <x:row r="86">
      <x:c r="A86" s="27"/>
      <x:c r="B86" s="27"/>
      <x:c r="C86" s="27"/>
      <x:c r="D86" s="27"/>
      <x:c r="E86" s="27"/>
      <x:c r="F86" s="27"/>
      <x:c r="G86" s="27"/>
    </x:row>
    <x:row r="87">
      <x:c r="A87" s="27"/>
      <x:c r="B87" s="27"/>
      <x:c r="C87" s="27"/>
      <x:c r="D87" s="27"/>
      <x:c r="E87" s="27"/>
      <x:c r="F87" s="27"/>
      <x:c r="G87" s="27"/>
    </x:row>
    <x:row r="88">
      <x:c r="A88" s="27"/>
      <x:c r="B88" s="27"/>
      <x:c r="C88" s="27"/>
      <x:c r="D88" s="27"/>
      <x:c r="E88" s="27"/>
      <x:c r="F88" s="27"/>
      <x:c r="G88" s="27"/>
    </x:row>
    <x:row r="89">
      <x:c r="A89" s="27"/>
      <x:c r="B89" s="27"/>
      <x:c r="C89" s="27"/>
      <x:c r="D89" s="27"/>
      <x:c r="E89" s="27"/>
      <x:c r="F89" s="27"/>
      <x:c r="G89" s="27"/>
    </x:row>
    <x:row r="90">
      <x:c r="A90" s="27"/>
      <x:c r="B90" s="27"/>
      <x:c r="C90" s="27"/>
      <x:c r="D90" s="27"/>
      <x:c r="E90" s="27"/>
      <x:c r="F90" s="27"/>
      <x:c r="G90" s="27"/>
    </x:row>
    <x:row r="91">
      <x:c r="A91" s="27"/>
      <x:c r="B91" s="27"/>
      <x:c r="C91" s="27"/>
      <x:c r="D91" s="27"/>
      <x:c r="E91" s="27"/>
      <x:c r="F91" s="27"/>
      <x:c r="G91" s="27"/>
    </x:row>
    <x:row r="92">
      <x:c r="A92" s="27"/>
      <x:c r="B92" s="27"/>
      <x:c r="C92" s="27"/>
      <x:c r="D92" s="27"/>
      <x:c r="E92" s="27"/>
      <x:c r="F92" s="27"/>
      <x:c r="G92" s="27"/>
    </x:row>
    <x:row r="93">
      <x:c r="A93" s="27"/>
      <x:c r="B93" s="27"/>
      <x:c r="C93" s="27"/>
      <x:c r="D93" s="27"/>
      <x:c r="E93" s="27"/>
      <x:c r="F93" s="27"/>
      <x:c r="G93" s="27"/>
    </x:row>
    <x:row r="94">
      <x:c r="A94" s="27"/>
      <x:c r="B94" s="27"/>
      <x:c r="C94" s="27"/>
      <x:c r="D94" s="27"/>
      <x:c r="E94" s="27"/>
      <x:c r="F94" s="27"/>
      <x:c r="G94" s="27"/>
    </x:row>
    <x:row r="95">
      <x:c r="A95" s="27"/>
      <x:c r="B95" s="27"/>
      <x:c r="C95" s="27"/>
      <x:c r="D95" s="27"/>
      <x:c r="E95" s="27"/>
      <x:c r="F95" s="27"/>
      <x:c r="G95" s="27"/>
    </x:row>
    <x:row r="96">
      <x:c r="A96" s="27"/>
      <x:c r="B96" s="27"/>
      <x:c r="C96" s="27"/>
      <x:c r="D96" s="27"/>
      <x:c r="E96" s="27"/>
      <x:c r="F96" s="27"/>
      <x:c r="G96" s="27"/>
    </x:row>
    <x:row r="97">
      <x:c r="A97" s="27"/>
      <x:c r="B97" s="27"/>
      <x:c r="C97" s="27"/>
      <x:c r="D97" s="27"/>
      <x:c r="E97" s="27"/>
      <x:c r="F97" s="27"/>
      <x:c r="G97" s="27"/>
    </x:row>
    <x:row r="98">
      <x:c r="A98" s="27"/>
      <x:c r="B98" s="27"/>
      <x:c r="C98" s="27"/>
      <x:c r="D98" s="27"/>
      <x:c r="E98" s="27"/>
      <x:c r="F98" s="27"/>
      <x:c r="G98" s="27"/>
    </x:row>
    <x:row r="99">
      <x:c r="A99" s="27"/>
      <x:c r="B99" s="27"/>
      <x:c r="C99" s="27"/>
      <x:c r="D99" s="27"/>
      <x:c r="E99" s="27"/>
      <x:c r="F99" s="27"/>
      <x:c r="G99" s="27"/>
    </x:row>
    <x:row r="100">
      <x:c r="A100" s="27"/>
      <x:c r="B100" s="27"/>
      <x:c r="C100" s="27"/>
      <x:c r="D100" s="27"/>
      <x:c r="E100" s="27"/>
      <x:c r="F100" s="27"/>
      <x:c r="G100" s="27"/>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78" hidden="0" customWidth="1"/>
    <x:col min="3" max="3" width="72" hidden="0" customWidth="1"/>
    <x:col min="4" max="4" width="30" hidden="0" customWidth="1"/>
    <x:col min="5" max="5" width="16" hidden="0" customWidth="1"/>
  </x:cols>
  <x:sheetData>
    <x:row r="1">
      <x:c r="A1" s="64" t="str">
        <x:v>Aspect</x:v>
      </x:c>
      <x:c r="B1" s="64" t="str">
        <x:v>Aspect Behavior</x:v>
      </x:c>
      <x:c r="C1" s="64" t="str">
        <x:v>Reader Consequence</x:v>
      </x:c>
      <x:c r="D1" s="64" t="str">
        <x:v>Do Not Reduce To</x:v>
      </x:c>
      <x:c r="E1" s="64" t="str">
        <x:v>Status</x:v>
      </x:c>
    </x:row>
    <x:row r="2">
      <x:c r="A2" s="27" t="str">
        <x:v>conjunction</x:v>
      </x:c>
      <x:c r="B2" s="27" t="str">
        <x:v>The two functions operate inside the same event. Benefit and complication arrive together, so separating one from the other is difficult.</x:v>
      </x:c>
      <x:c r="C2" s="27" t="str">
        <x:v>Benefit and complication arrive in the same event.</x:v>
      </x:c>
      <x:c r="D2" s="27" t="str">
        <x:v>generic conjunction language</x:v>
      </x:c>
      <x:c r="E2" s="27" t="str">
        <x:v>AUTHORED</x:v>
      </x:c>
    </x:row>
    <x:row r="3">
      <x:c r="A3" s="27" t="str">
        <x:v>opposition</x:v>
      </x:c>
      <x:c r="B3" s="27" t="str">
        <x:v>Two needs or positions face each other directly through different people, roles, institutions, or requirements. The tradeoff has to become explicit.</x:v>
      </x:c>
      <x:c r="C3" s="27" t="str">
        <x:v>The difference becomes visible across two positions and requires an explicit tradeoff.</x:v>
      </x:c>
      <x:c r="D3" s="27" t="str">
        <x:v>generic opposition language</x:v>
      </x:c>
      <x:c r="E3" s="27" t="str">
        <x:v>AUTHORED</x:v>
      </x:c>
    </x:row>
    <x:row r="4">
      <x:c r="A4" s="27" t="str">
        <x:v>square</x:v>
      </x:c>
      <x:c r="B4" s="27" t="str">
        <x:v>Friction makes the problem difficult to keep absorbing. Pressure repeats or escalates until the plan, rule, behavior, or distribution of responsibility changes.</x:v>
      </x:c>
      <x:c r="C4" s="27" t="str">
        <x:v>The same problem can no longer be absorbed quietly; something has to change.</x:v>
      </x:c>
      <x:c r="D4" s="27" t="str">
        <x:v>generic square language</x:v>
      </x:c>
      <x:c r="E4" s="27" t="str">
        <x:v>AUTHORED</x:v>
      </x:c>
    </x:row>
    <x:row r="5">
      <x:c r="A5" s="27" t="str">
        <x:v>trine</x:v>
      </x:c>
      <x:c r="B5" s="27" t="str">
        <x:v>The two functions support each other easily. Momentum is available with less resistance, which helps progress but can let a weak assumption travel farther.</x:v>
      </x:c>
      <x:c r="C5" s="27" t="str">
        <x:v>Momentum is easier to use; the main risk is letting a weak assumption travel too far because nothing stops it.</x:v>
      </x:c>
      <x:c r="D5" s="27" t="str">
        <x:v>generic trine language</x:v>
      </x:c>
      <x:c r="E5" s="27" t="str">
        <x:v>AUTHORED</x:v>
      </x:c>
    </x:row>
    <x:row r="6">
      <x:c r="A6" s="27" t="str">
        <x:v>sextile</x:v>
      </x:c>
      <x:c r="B6" s="27" t="str">
        <x:v>A workable opening appears between the two functions. The opportunity is useful but not automatic; someone still has to notice it and make the specific move.</x:v>
      </x:c>
      <x:c r="C6" s="27" t="str">
        <x:v>A practical opening exists, but somebody still has to make the move.</x:v>
      </x:c>
      <x:c r="D6" s="27" t="str">
        <x:v>generic sextile language</x:v>
      </x:c>
      <x:c r="E6" s="27" t="str">
        <x:v>AUTHORED</x:v>
      </x:c>
    </x:row>
    <x:row r="7">
      <x:c r="A7" s="27"/>
      <x:c r="B7" s="27"/>
      <x:c r="C7" s="27"/>
      <x:c r="D7" s="27"/>
      <x:c r="E7" s="27"/>
    </x:row>
    <x:row r="8">
      <x:c r="A8" s="27"/>
      <x:c r="B8" s="27"/>
      <x:c r="C8" s="27"/>
      <x:c r="D8" s="27"/>
      <x:c r="E8" s="27"/>
    </x:row>
    <x:row r="9">
      <x:c r="A9" s="27"/>
      <x:c r="B9" s="27"/>
      <x:c r="C9" s="27"/>
      <x:c r="D9" s="27"/>
      <x:c r="E9" s="27"/>
    </x:row>
    <x:row r="10">
      <x:c r="A10" s="27"/>
      <x:c r="B10" s="27"/>
      <x:c r="C10" s="27"/>
      <x:c r="D10" s="27"/>
      <x:c r="E10" s="27"/>
    </x:row>
    <x:row r="11">
      <x:c r="A11" s="27"/>
      <x:c r="B11" s="27"/>
      <x:c r="C11" s="27"/>
      <x:c r="D11" s="27"/>
      <x:c r="E11" s="27"/>
    </x:row>
    <x:row r="12">
      <x:c r="A12" s="27"/>
      <x:c r="B12" s="27"/>
      <x:c r="C12" s="27"/>
      <x:c r="D12" s="27"/>
      <x:c r="E12" s="27"/>
    </x:row>
    <x:row r="13">
      <x:c r="A13" s="27"/>
      <x:c r="B13" s="27"/>
      <x:c r="C13" s="27"/>
      <x:c r="D13" s="27"/>
      <x:c r="E13" s="27"/>
    </x:row>
    <x:row r="14">
      <x:c r="A14" s="27"/>
      <x:c r="B14" s="27"/>
      <x:c r="C14" s="27"/>
      <x:c r="D14" s="27"/>
      <x:c r="E14" s="27"/>
    </x:row>
    <x:row r="15">
      <x:c r="A15" s="27"/>
      <x:c r="B15" s="27"/>
      <x:c r="C15" s="27"/>
      <x:c r="D15" s="27"/>
      <x:c r="E15" s="27"/>
    </x:row>
    <x:row r="16">
      <x:c r="A16" s="27"/>
      <x:c r="B16" s="27"/>
      <x:c r="C16" s="27"/>
      <x:c r="D16" s="27"/>
      <x:c r="E16" s="27"/>
    </x:row>
    <x:row r="17">
      <x:c r="A17" s="27"/>
      <x:c r="B17" s="27"/>
      <x:c r="C17" s="27"/>
      <x:c r="D17" s="27"/>
      <x:c r="E17" s="27"/>
    </x:row>
    <x:row r="18">
      <x:c r="A18" s="27"/>
      <x:c r="B18" s="27"/>
      <x:c r="C18" s="27"/>
      <x:c r="D18" s="27"/>
      <x:c r="E18" s="27"/>
    </x:row>
    <x:row r="19">
      <x:c r="A19" s="27"/>
      <x:c r="B19" s="27"/>
      <x:c r="C19" s="27"/>
      <x:c r="D19" s="27"/>
      <x:c r="E19" s="27"/>
    </x:row>
    <x:row r="20">
      <x:c r="A20" s="27"/>
      <x:c r="B20" s="27"/>
      <x:c r="C20" s="27"/>
      <x:c r="D20" s="27"/>
      <x:c r="E20" s="27"/>
    </x:row>
    <x:row r="21">
      <x:c r="A21" s="27"/>
      <x:c r="B21" s="27"/>
      <x:c r="C21" s="27"/>
      <x:c r="D21" s="27"/>
      <x:c r="E21" s="27"/>
    </x:row>
    <x:row r="22">
      <x:c r="A22" s="27"/>
      <x:c r="B22" s="27"/>
      <x:c r="C22" s="27"/>
      <x:c r="D22" s="27"/>
      <x:c r="E22" s="27"/>
    </x:row>
    <x:row r="23">
      <x:c r="A23" s="27"/>
      <x:c r="B23" s="27"/>
      <x:c r="C23" s="27"/>
      <x:c r="D23" s="27"/>
      <x:c r="E23" s="27"/>
    </x:row>
    <x:row r="24">
      <x:c r="A24" s="27"/>
      <x:c r="B24" s="27"/>
      <x:c r="C24" s="27"/>
      <x:c r="D24" s="27"/>
      <x:c r="E24" s="27"/>
    </x:row>
    <x:row r="25">
      <x:c r="A25" s="27"/>
      <x:c r="B25" s="27"/>
      <x:c r="C25" s="27"/>
      <x:c r="D25" s="27"/>
      <x:c r="E25" s="27"/>
    </x:row>
    <x:row r="26">
      <x:c r="A26" s="27"/>
      <x:c r="B26" s="27"/>
      <x:c r="C26" s="27"/>
      <x:c r="D26" s="27"/>
      <x:c r="E26" s="27"/>
    </x:row>
    <x:row r="27">
      <x:c r="A27" s="27"/>
      <x:c r="B27" s="27"/>
      <x:c r="C27" s="27"/>
      <x:c r="D27" s="27"/>
      <x:c r="E27" s="27"/>
    </x:row>
    <x:row r="28">
      <x:c r="A28" s="27"/>
      <x:c r="B28" s="27"/>
      <x:c r="C28" s="27"/>
      <x:c r="D28" s="27"/>
      <x:c r="E28" s="27"/>
    </x:row>
    <x:row r="29">
      <x:c r="A29" s="27"/>
      <x:c r="B29" s="27"/>
      <x:c r="C29" s="27"/>
      <x:c r="D29" s="27"/>
      <x:c r="E29" s="27"/>
    </x:row>
    <x:row r="30">
      <x:c r="A30" s="27"/>
      <x:c r="B30" s="27"/>
      <x:c r="C30" s="27"/>
      <x:c r="D30" s="27"/>
      <x:c r="E30" s="27"/>
    </x:row>
    <x:row r="31">
      <x:c r="A31" s="27"/>
      <x:c r="B31" s="27"/>
      <x:c r="C31" s="27"/>
      <x:c r="D31" s="27"/>
      <x:c r="E31" s="27"/>
    </x:row>
    <x:row r="32">
      <x:c r="A32" s="27"/>
      <x:c r="B32" s="27"/>
      <x:c r="C32" s="27"/>
      <x:c r="D32" s="27"/>
      <x:c r="E32" s="27"/>
    </x:row>
    <x:row r="33">
      <x:c r="A33" s="27"/>
      <x:c r="B33" s="27"/>
      <x:c r="C33" s="27"/>
      <x:c r="D33" s="27"/>
      <x:c r="E33" s="27"/>
    </x:row>
    <x:row r="34">
      <x:c r="A34" s="27"/>
      <x:c r="B34" s="27"/>
      <x:c r="C34" s="27"/>
      <x:c r="D34" s="27"/>
      <x:c r="E34" s="27"/>
    </x:row>
    <x:row r="35">
      <x:c r="A35" s="27"/>
      <x:c r="B35" s="27"/>
      <x:c r="C35" s="27"/>
      <x:c r="D35" s="27"/>
      <x:c r="E35" s="27"/>
    </x:row>
    <x:row r="36">
      <x:c r="A36" s="27"/>
      <x:c r="B36" s="27"/>
      <x:c r="C36" s="27"/>
      <x:c r="D36" s="27"/>
      <x:c r="E36" s="27"/>
    </x:row>
    <x:row r="37">
      <x:c r="A37" s="27"/>
      <x:c r="B37" s="27"/>
      <x:c r="C37" s="27"/>
      <x:c r="D37" s="27"/>
      <x:c r="E37" s="27"/>
    </x:row>
    <x:row r="38">
      <x:c r="A38" s="27"/>
      <x:c r="B38" s="27"/>
      <x:c r="C38" s="27"/>
      <x:c r="D38" s="27"/>
      <x:c r="E38" s="27"/>
    </x:row>
    <x:row r="39">
      <x:c r="A39" s="27"/>
      <x:c r="B39" s="27"/>
      <x:c r="C39" s="27"/>
      <x:c r="D39" s="27"/>
      <x:c r="E39" s="27"/>
    </x:row>
    <x:row r="40">
      <x:c r="A40" s="27"/>
      <x:c r="B40" s="27"/>
      <x:c r="C40" s="27"/>
      <x:c r="D40" s="27"/>
      <x:c r="E40" s="27"/>
    </x:row>
    <x:row r="41">
      <x:c r="A41" s="27"/>
      <x:c r="B41" s="27"/>
      <x:c r="C41" s="27"/>
      <x:c r="D41" s="27"/>
      <x:c r="E41" s="27"/>
    </x:row>
    <x:row r="42">
      <x:c r="A42" s="27"/>
      <x:c r="B42" s="27"/>
      <x:c r="C42" s="27"/>
      <x:c r="D42" s="27"/>
      <x:c r="E42" s="27"/>
    </x:row>
    <x:row r="43">
      <x:c r="A43" s="27"/>
      <x:c r="B43" s="27"/>
      <x:c r="C43" s="27"/>
      <x:c r="D43" s="27"/>
      <x:c r="E43" s="27"/>
    </x:row>
    <x:row r="44">
      <x:c r="A44" s="27"/>
      <x:c r="B44" s="27"/>
      <x:c r="C44" s="27"/>
      <x:c r="D44" s="27"/>
      <x:c r="E44" s="27"/>
    </x:row>
    <x:row r="45">
      <x:c r="A45" s="27"/>
      <x:c r="B45" s="27"/>
      <x:c r="C45" s="27"/>
      <x:c r="D45" s="27"/>
      <x:c r="E45" s="27"/>
    </x:row>
    <x:row r="46">
      <x:c r="A46" s="27"/>
      <x:c r="B46" s="27"/>
      <x:c r="C46" s="27"/>
      <x:c r="D46" s="27"/>
      <x:c r="E46" s="27"/>
    </x:row>
    <x:row r="47">
      <x:c r="A47" s="27"/>
      <x:c r="B47" s="27"/>
      <x:c r="C47" s="27"/>
      <x:c r="D47" s="27"/>
      <x:c r="E47" s="27"/>
    </x:row>
    <x:row r="48">
      <x:c r="A48" s="27"/>
      <x:c r="B48" s="27"/>
      <x:c r="C48" s="27"/>
      <x:c r="D48" s="27"/>
      <x:c r="E48" s="27"/>
    </x:row>
    <x:row r="49">
      <x:c r="A49" s="27"/>
      <x:c r="B49" s="27"/>
      <x:c r="C49" s="27"/>
      <x:c r="D49" s="27"/>
      <x:c r="E49" s="27"/>
    </x:row>
    <x:row r="50">
      <x:c r="A50" s="27"/>
      <x:c r="B50" s="27"/>
      <x:c r="C50" s="27"/>
      <x:c r="D50" s="27"/>
      <x:c r="E50" s="27"/>
    </x:row>
    <x:row r="51">
      <x:c r="A51" s="27"/>
      <x:c r="B51" s="27"/>
      <x:c r="C51" s="27"/>
      <x:c r="D51" s="27"/>
      <x:c r="E51" s="27"/>
    </x:row>
    <x:row r="52">
      <x:c r="A52" s="27"/>
      <x:c r="B52" s="27"/>
      <x:c r="C52" s="27"/>
      <x:c r="D52" s="27"/>
      <x:c r="E52" s="27"/>
    </x:row>
    <x:row r="53">
      <x:c r="A53" s="27"/>
      <x:c r="B53" s="27"/>
      <x:c r="C53" s="27"/>
      <x:c r="D53" s="27"/>
      <x:c r="E53" s="27"/>
    </x:row>
    <x:row r="54">
      <x:c r="A54" s="27"/>
      <x:c r="B54" s="27"/>
      <x:c r="C54" s="27"/>
      <x:c r="D54" s="27"/>
      <x:c r="E54" s="27"/>
    </x:row>
    <x:row r="55">
      <x:c r="A55" s="27"/>
      <x:c r="B55" s="27"/>
      <x:c r="C55" s="27"/>
      <x:c r="D55" s="27"/>
      <x:c r="E55" s="27"/>
    </x:row>
    <x:row r="56">
      <x:c r="A56" s="27"/>
      <x:c r="B56" s="27"/>
      <x:c r="C56" s="27"/>
      <x:c r="D56" s="27"/>
      <x:c r="E56" s="27"/>
    </x:row>
    <x:row r="57">
      <x:c r="A57" s="27"/>
      <x:c r="B57" s="27"/>
      <x:c r="C57" s="27"/>
      <x:c r="D57" s="27"/>
      <x:c r="E57" s="27"/>
    </x:row>
    <x:row r="58">
      <x:c r="A58" s="27"/>
      <x:c r="B58" s="27"/>
      <x:c r="C58" s="27"/>
      <x:c r="D58" s="27"/>
      <x:c r="E58" s="27"/>
    </x:row>
    <x:row r="59">
      <x:c r="A59" s="27"/>
      <x:c r="B59" s="27"/>
      <x:c r="C59" s="27"/>
      <x:c r="D59" s="27"/>
      <x:c r="E59" s="27"/>
    </x:row>
    <x:row r="60">
      <x:c r="A60" s="27"/>
      <x:c r="B60" s="27"/>
      <x:c r="C60" s="27"/>
      <x:c r="D60" s="27"/>
      <x:c r="E60" s="27"/>
    </x:row>
    <x:row r="61">
      <x:c r="A61" s="27"/>
      <x:c r="B61" s="27"/>
      <x:c r="C61" s="27"/>
      <x:c r="D61" s="27"/>
      <x:c r="E61" s="27"/>
    </x:row>
    <x:row r="62">
      <x:c r="A62" s="27"/>
      <x:c r="B62" s="27"/>
      <x:c r="C62" s="27"/>
      <x:c r="D62" s="27"/>
      <x:c r="E62" s="27"/>
    </x:row>
    <x:row r="63">
      <x:c r="A63" s="27"/>
      <x:c r="B63" s="27"/>
      <x:c r="C63" s="27"/>
      <x:c r="D63" s="27"/>
      <x:c r="E63" s="27"/>
    </x:row>
    <x:row r="64">
      <x:c r="A64" s="27"/>
      <x:c r="B64" s="27"/>
      <x:c r="C64" s="27"/>
      <x:c r="D64" s="27"/>
      <x:c r="E64" s="27"/>
    </x:row>
    <x:row r="65">
      <x:c r="A65" s="27"/>
      <x:c r="B65" s="27"/>
      <x:c r="C65" s="27"/>
      <x:c r="D65" s="27"/>
      <x:c r="E65" s="27"/>
    </x:row>
    <x:row r="66">
      <x:c r="A66" s="27"/>
      <x:c r="B66" s="27"/>
      <x:c r="C66" s="27"/>
      <x:c r="D66" s="27"/>
      <x:c r="E66" s="27"/>
    </x:row>
    <x:row r="67">
      <x:c r="A67" s="27"/>
      <x:c r="B67" s="27"/>
      <x:c r="C67" s="27"/>
      <x:c r="D67" s="27"/>
      <x:c r="E67" s="27"/>
    </x:row>
    <x:row r="68">
      <x:c r="A68" s="27"/>
      <x:c r="B68" s="27"/>
      <x:c r="C68" s="27"/>
      <x:c r="D68" s="27"/>
      <x:c r="E68" s="27"/>
    </x:row>
    <x:row r="69">
      <x:c r="A69" s="27"/>
      <x:c r="B69" s="27"/>
      <x:c r="C69" s="27"/>
      <x:c r="D69" s="27"/>
      <x:c r="E69" s="27"/>
    </x:row>
    <x:row r="70">
      <x:c r="A70" s="27"/>
      <x:c r="B70" s="27"/>
      <x:c r="C70" s="27"/>
      <x:c r="D70" s="27"/>
      <x:c r="E70" s="27"/>
    </x:row>
    <x:row r="71">
      <x:c r="A71" s="27"/>
      <x:c r="B71" s="27"/>
      <x:c r="C71" s="27"/>
      <x:c r="D71" s="27"/>
      <x:c r="E71" s="27"/>
    </x:row>
    <x:row r="72">
      <x:c r="A72" s="27"/>
      <x:c r="B72" s="27"/>
      <x:c r="C72" s="27"/>
      <x:c r="D72" s="27"/>
      <x:c r="E72" s="27"/>
    </x:row>
    <x:row r="73">
      <x:c r="A73" s="27"/>
      <x:c r="B73" s="27"/>
      <x:c r="C73" s="27"/>
      <x:c r="D73" s="27"/>
      <x:c r="E73" s="27"/>
    </x:row>
    <x:row r="74">
      <x:c r="A74" s="27"/>
      <x:c r="B74" s="27"/>
      <x:c r="C74" s="27"/>
      <x:c r="D74" s="27"/>
      <x:c r="E74" s="27"/>
    </x:row>
    <x:row r="75">
      <x:c r="A75" s="27"/>
      <x:c r="B75" s="27"/>
      <x:c r="C75" s="27"/>
      <x:c r="D75" s="27"/>
      <x:c r="E75" s="27"/>
    </x:row>
    <x:row r="76">
      <x:c r="A76" s="27"/>
      <x:c r="B76" s="27"/>
      <x:c r="C76" s="27"/>
      <x:c r="D76" s="27"/>
      <x:c r="E76" s="27"/>
    </x:row>
    <x:row r="77">
      <x:c r="A77" s="27"/>
      <x:c r="B77" s="27"/>
      <x:c r="C77" s="27"/>
      <x:c r="D77" s="27"/>
      <x:c r="E77" s="27"/>
    </x:row>
    <x:row r="78">
      <x:c r="A78" s="27"/>
      <x:c r="B78" s="27"/>
      <x:c r="C78" s="27"/>
      <x:c r="D78" s="27"/>
      <x:c r="E78" s="27"/>
    </x:row>
    <x:row r="79">
      <x:c r="A79" s="27"/>
      <x:c r="B79" s="27"/>
      <x:c r="C79" s="27"/>
      <x:c r="D79" s="27"/>
      <x:c r="E79" s="27"/>
    </x:row>
    <x:row r="80">
      <x:c r="A80" s="27"/>
      <x:c r="B80" s="27"/>
      <x:c r="C80" s="27"/>
      <x:c r="D80" s="27"/>
      <x:c r="E80" s="27"/>
    </x:row>
    <x:row r="81">
      <x:c r="A81" s="27"/>
      <x:c r="B81" s="27"/>
      <x:c r="C81" s="27"/>
      <x:c r="D81" s="27"/>
      <x:c r="E81" s="27"/>
    </x:row>
    <x:row r="82">
      <x:c r="A82" s="27"/>
      <x:c r="B82" s="27"/>
      <x:c r="C82" s="27"/>
      <x:c r="D82" s="27"/>
      <x:c r="E82" s="27"/>
    </x:row>
    <x:row r="83">
      <x:c r="A83" s="27"/>
      <x:c r="B83" s="27"/>
      <x:c r="C83" s="27"/>
      <x:c r="D83" s="27"/>
      <x:c r="E83" s="27"/>
    </x:row>
    <x:row r="84">
      <x:c r="A84" s="27"/>
      <x:c r="B84" s="27"/>
      <x:c r="C84" s="27"/>
      <x:c r="D84" s="27"/>
      <x:c r="E84" s="27"/>
    </x:row>
    <x:row r="85">
      <x:c r="A85" s="27"/>
      <x:c r="B85" s="27"/>
      <x:c r="C85" s="27"/>
      <x:c r="D85" s="27"/>
      <x:c r="E85" s="27"/>
    </x:row>
    <x:row r="86">
      <x:c r="A86" s="27"/>
      <x:c r="B86" s="27"/>
      <x:c r="C86" s="27"/>
      <x:c r="D86" s="27"/>
      <x:c r="E86" s="27"/>
    </x:row>
    <x:row r="87">
      <x:c r="A87" s="27"/>
      <x:c r="B87" s="27"/>
      <x:c r="C87" s="27"/>
      <x:c r="D87" s="27"/>
      <x:c r="E87" s="27"/>
    </x:row>
    <x:row r="88">
      <x:c r="A88" s="27"/>
      <x:c r="B88" s="27"/>
      <x:c r="C88" s="27"/>
      <x:c r="D88" s="27"/>
      <x:c r="E88" s="27"/>
    </x:row>
    <x:row r="89">
      <x:c r="A89" s="27"/>
      <x:c r="B89" s="27"/>
      <x:c r="C89" s="27"/>
      <x:c r="D89" s="27"/>
      <x:c r="E89" s="27"/>
    </x:row>
    <x:row r="90">
      <x:c r="A90" s="27"/>
      <x:c r="B90" s="27"/>
      <x:c r="C90" s="27"/>
      <x:c r="D90" s="27"/>
      <x:c r="E90" s="27"/>
    </x:row>
    <x:row r="91">
      <x:c r="A91" s="27"/>
      <x:c r="B91" s="27"/>
      <x:c r="C91" s="27"/>
      <x:c r="D91" s="27"/>
      <x:c r="E91" s="27"/>
    </x:row>
    <x:row r="92">
      <x:c r="A92" s="27"/>
      <x:c r="B92" s="27"/>
      <x:c r="C92" s="27"/>
      <x:c r="D92" s="27"/>
      <x:c r="E92" s="27"/>
    </x:row>
    <x:row r="93">
      <x:c r="A93" s="27"/>
      <x:c r="B93" s="27"/>
      <x:c r="C93" s="27"/>
      <x:c r="D93" s="27"/>
      <x:c r="E93" s="27"/>
    </x:row>
    <x:row r="94">
      <x:c r="A94" s="27"/>
      <x:c r="B94" s="27"/>
      <x:c r="C94" s="27"/>
      <x:c r="D94" s="27"/>
      <x:c r="E94" s="27"/>
    </x:row>
    <x:row r="95">
      <x:c r="A95" s="27"/>
      <x:c r="B95" s="27"/>
      <x:c r="C95" s="27"/>
      <x:c r="D95" s="27"/>
      <x:c r="E95" s="27"/>
    </x:row>
    <x:row r="96">
      <x:c r="A96" s="27"/>
      <x:c r="B96" s="27"/>
      <x:c r="C96" s="27"/>
      <x:c r="D96" s="27"/>
      <x:c r="E96" s="27"/>
    </x:row>
    <x:row r="97">
      <x:c r="A97" s="27"/>
      <x:c r="B97" s="27"/>
      <x:c r="C97" s="27"/>
      <x:c r="D97" s="27"/>
      <x:c r="E97" s="27"/>
    </x:row>
    <x:row r="98">
      <x:c r="A98" s="27"/>
      <x:c r="B98" s="27"/>
      <x:c r="C98" s="27"/>
      <x:c r="D98" s="27"/>
      <x:c r="E98" s="27"/>
    </x:row>
    <x:row r="99">
      <x:c r="A99" s="27"/>
      <x:c r="B99" s="27"/>
      <x:c r="C99" s="27"/>
      <x:c r="D99" s="27"/>
      <x:c r="E99" s="27"/>
    </x:row>
    <x:row r="100">
      <x:c r="A100" s="27"/>
      <x:c r="B100" s="27"/>
      <x:c r="C100" s="27"/>
      <x:c r="D100" s="27"/>
      <x:c r="E100" s="27"/>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54" hidden="0" customWidth="1"/>
    <x:col min="5" max="5" width="62" hidden="0" customWidth="1"/>
    <x:col min="6" max="6" width="88" hidden="0" customWidth="1"/>
    <x:col min="7" max="7" width="16" hidden="0" customWidth="1"/>
  </x:cols>
  <x:sheetData>
    <x:row r="1">
      <x:c r="A1" s="64" t="str">
        <x:v>Lookup Key</x:v>
      </x:c>
      <x:c r="B1" s="64" t="str">
        <x:v>Body</x:v>
      </x:c>
      <x:c r="C1" s="64" t="str">
        <x:v>Sign</x:v>
      </x:c>
      <x:c r="D1" s="64" t="str">
        <x:v>Planet Function</x:v>
      </x:c>
      <x:c r="E1" s="64" t="str">
        <x:v>Sign Method</x:v>
      </x:c>
      <x:c r="F1" s="64" t="str">
        <x:v>Planet-in-Sign Mechanism</x:v>
      </x:c>
      <x:c r="G1" s="64" t="str">
        <x:v>Status</x:v>
      </x:c>
    </x:row>
    <x:row r="2">
      <x:c r="A2" s="27" t="str">
        <x:v>sun|aries</x:v>
      </x:c>
      <x:c r="B2" s="27" t="str">
        <x:v>sun</x:v>
      </x:c>
      <x:c r="C2" s="27" t="str">
        <x:v>aries</x:v>
      </x:c>
      <x:c r="D2" s="27" t="str">
        <x:v>visibility, leadership, purpose, and the decision that sets direction</x:v>
      </x:c>
      <x:c r="E2" s="27" t="str">
        <x:v>moves directly, acts first, and treats delay or excessive consultation as part of the problem</x:v>
      </x:c>
      <x:c r="F2" s="27" t="str">
        <x:v>Sun brings visibility, leadership, purpose, and the decision that sets direction; in Aries, it moves directly, acts first, and treats delay or excessive consultation as part of the problem.</x:v>
      </x:c>
      <x:c r="G2" s="27" t="str">
        <x:v>AUTHORED</x:v>
      </x:c>
    </x:row>
    <x:row r="3">
      <x:c r="A3" s="27" t="str">
        <x:v>sun|taurus</x:v>
      </x:c>
      <x:c r="B3" s="27" t="str">
        <x:v>sun</x:v>
      </x:c>
      <x:c r="C3" s="27" t="str">
        <x:v>taurus</x:v>
      </x:c>
      <x:c r="D3" s="27" t="str">
        <x:v>visibility, leadership, purpose, and the decision that sets direction</x:v>
      </x:c>
      <x:c r="E3" s="27" t="str">
        <x:v>protects money, material stability, ownership, continuity, and what people can physically rely on</x:v>
      </x:c>
      <x:c r="F3" s="27" t="str">
        <x:v>Sun brings visibility, leadership, purpose, and the decision that sets direction; in Taurus, it protects money, material stability, ownership, continuity, and what people can physically rely on.</x:v>
      </x:c>
      <x:c r="G3" s="27" t="str">
        <x:v>AUTHORED</x:v>
      </x:c>
    </x:row>
    <x:row r="4">
      <x:c r="A4" s="27" t="str">
        <x:v>sun|gemini</x:v>
      </x:c>
      <x:c r="B4" s="27" t="str">
        <x:v>sun</x:v>
      </x:c>
      <x:c r="C4" s="27" t="str">
        <x:v>gemini</x:v>
      </x:c>
      <x:c r="D4" s="27" t="str">
        <x:v>visibility, leadership, purpose, and the decision that sets direction</x:v>
      </x:c>
      <x:c r="E4" s="27" t="str">
        <x:v>moves through information, multiple options, comparison, conversation, and fast-changing input</x:v>
      </x:c>
      <x:c r="F4" s="27" t="str">
        <x:v>Sun brings visibility, leadership, purpose, and the decision that sets direction; in Gemini, it moves through information, multiple options, comparison, conversation, and fast-changing input.</x:v>
      </x:c>
      <x:c r="G4" s="27" t="str">
        <x:v>AUTHORED</x:v>
      </x:c>
    </x:row>
    <x:row r="5">
      <x:c r="A5" s="27" t="str">
        <x:v>sun|cancer</x:v>
      </x:c>
      <x:c r="B5" s="27" t="str">
        <x:v>sun</x:v>
      </x:c>
      <x:c r="C5" s="27" t="str">
        <x:v>cancer</x:v>
      </x:c>
      <x:c r="D5" s="27" t="str">
        <x:v>visibility, leadership, purpose, and the decision that sets direction</x:v>
      </x:c>
      <x:c r="E5" s="27" t="str">
        <x:v>prioritizes care, home, family, belonging, protection, and the people most affected by the decision</x:v>
      </x:c>
      <x:c r="F5" s="27" t="str">
        <x:v>Sun brings visibility, leadership, purpose, and the decision that sets direction; in Cancer, it prioritizes care, home, family, belonging, protection, and the people most affected by the decision.</x:v>
      </x:c>
      <x:c r="G5" s="27" t="str">
        <x:v>AUTHORED</x:v>
      </x:c>
    </x:row>
    <x:row r="6">
      <x:c r="A6" s="27" t="str">
        <x:v>sun|leo</x:v>
      </x:c>
      <x:c r="B6" s="27" t="str">
        <x:v>sun</x:v>
      </x:c>
      <x:c r="C6" s="27" t="str">
        <x:v>leo</x:v>
      </x:c>
      <x:c r="D6" s="27" t="str">
        <x:v>visibility, leadership, purpose, and the decision that sets direction</x:v>
      </x:c>
      <x:c r="E6" s="27" t="str">
        <x:v>makes the issue visible, personal, creative, or tied to recognition, leadership, and who receives credit</x:v>
      </x:c>
      <x:c r="F6" s="27" t="str">
        <x:v>Sun brings visibility, leadership, purpose, and the decision that sets direction; in Leo, it makes the issue visible, personal, creative, or tied to recognition, leadership, and who receives credit.</x:v>
      </x:c>
      <x:c r="G6" s="27" t="str">
        <x:v>AUTHORED</x:v>
      </x:c>
    </x:row>
    <x:row r="7">
      <x:c r="A7" s="27" t="str">
        <x:v>sun|virgo</x:v>
      </x:c>
      <x:c r="B7" s="27" t="str">
        <x:v>sun</x:v>
      </x:c>
      <x:c r="C7" s="27" t="str">
        <x:v>virgo</x:v>
      </x:c>
      <x:c r="D7" s="27" t="str">
        <x:v>visibility, leadership, purpose, and the decision that sets direction</x:v>
      </x:c>
      <x:c r="E7" s="27" t="str">
        <x:v>works through details, schedules, repair, service, measurement, quality control, and the part that has to function in practice</x:v>
      </x:c>
      <x:c r="F7" s="27" t="str">
        <x:v>Sun brings visibility, leadership, purpose, and the decision that sets direction; in Virgo, it works through details, schedules, repair, service, measurement, quality control, and the part that has to function in practice.</x:v>
      </x:c>
      <x:c r="G7" s="27" t="str">
        <x:v>AUTHORED</x:v>
      </x:c>
    </x:row>
    <x:row r="8">
      <x:c r="A8" s="27" t="str">
        <x:v>sun|libra</x:v>
      </x:c>
      <x:c r="B8" s="27" t="str">
        <x:v>sun</x:v>
      </x:c>
      <x:c r="C8" s="27" t="str">
        <x:v>libra</x:v>
      </x:c>
      <x:c r="D8" s="27" t="str">
        <x:v>visibility, leadership, purpose, and the decision that sets direction</x:v>
      </x:c>
      <x:c r="E8" s="27" t="str">
        <x:v>works through negotiation, fairness, shared terms, appearances, relationships, and the distribution of responsibility</x:v>
      </x:c>
      <x:c r="F8" s="27" t="str">
        <x:v>Sun brings visibility, leadership, purpose, and the decision that sets direction; in Libra, it works through negotiation, fairness, shared terms, appearances, relationships, and the distribution of responsibility.</x:v>
      </x:c>
      <x:c r="G8" s="27" t="str">
        <x:v>AUTHORED</x:v>
      </x:c>
    </x:row>
    <x:row r="9">
      <x:c r="A9" s="27" t="str">
        <x:v>sun|scorpio</x:v>
      </x:c>
      <x:c r="B9" s="27" t="str">
        <x:v>sun</x:v>
      </x:c>
      <x:c r="C9" s="27" t="str">
        <x:v>scorpio</x:v>
      </x:c>
      <x:c r="D9" s="27" t="str">
        <x:v>visibility, leadership, purpose, and the decision that sets direction</x:v>
      </x:c>
      <x:c r="E9" s="27" t="str">
        <x:v>works through shared resources, privacy, leverage, debt, trust, access, and who controls what cannot easily be replaced</x:v>
      </x:c>
      <x:c r="F9" s="27" t="str">
        <x:v>Sun brings visibility, leadership, purpose, and the decision that sets direction; in Scorpio, it works through shared resources, privacy, leverage, debt, trust, access, and who controls what cannot easily be replaced.</x:v>
      </x:c>
      <x:c r="G9" s="27" t="str">
        <x:v>AUTHORED</x:v>
      </x:c>
    </x:row>
    <x:row r="10">
      <x:c r="A10" s="27" t="str">
        <x:v>sun|sagittarius</x:v>
      </x:c>
      <x:c r="B10" s="27" t="str">
        <x:v>sun</x:v>
      </x:c>
      <x:c r="C10" s="27" t="str">
        <x:v>sagittarius</x:v>
      </x:c>
      <x:c r="D10" s="27" t="str">
        <x:v>visibility, leadership, purpose, and the decision that sets direction</x:v>
      </x:c>
      <x:c r="E10" s="27" t="str">
        <x:v>pushes toward a larger horizon through belief, travel, education, law, publishing, or a bigger public claim</x:v>
      </x:c>
      <x:c r="F10" s="27" t="str">
        <x:v>Sun brings visibility, leadership, purpose, and the decision that sets direction; in Sagittarius, it pushes toward a larger horizon through belief, travel, education, law, publishing, or a bigger public claim.</x:v>
      </x:c>
      <x:c r="G10" s="27" t="str">
        <x:v>AUTHORED</x:v>
      </x:c>
    </x:row>
    <x:row r="11">
      <x:c r="A11" s="27" t="str">
        <x:v>sun|capricorn</x:v>
      </x:c>
      <x:c r="B11" s="27" t="str">
        <x:v>sun</x:v>
      </x:c>
      <x:c r="C11" s="27" t="str">
        <x:v>capricorn</x:v>
      </x:c>
      <x:c r="D11" s="27" t="str">
        <x:v>visibility, leadership, purpose, and the decision that sets direction</x:v>
      </x:c>
      <x:c r="E11" s="27" t="str">
        <x:v>works through hierarchy, deadlines, duty, career, formal authority, long-term structure, and who is responsible for delivery</x:v>
      </x:c>
      <x:c r="F11" s="27" t="str">
        <x:v>Sun brings visibility, leadership, purpose, and the decision that sets direction; in Capricorn, it works through hierarchy, deadlines, duty, career, formal authority, long-term structure, and who is responsible for delivery.</x:v>
      </x:c>
      <x:c r="G11" s="27" t="str">
        <x:v>AUTHORED</x:v>
      </x:c>
    </x:row>
    <x:row r="12">
      <x:c r="A12" s="27" t="str">
        <x:v>sun|aquarius</x:v>
      </x:c>
      <x:c r="B12" s="27" t="str">
        <x:v>sun</x:v>
      </x:c>
      <x:c r="C12" s="27" t="str">
        <x:v>aquarius</x:v>
      </x:c>
      <x:c r="D12" s="27" t="str">
        <x:v>visibility, leadership, purpose, and the decision that sets direction</x:v>
      </x:c>
      <x:c r="E12" s="27" t="str">
        <x:v>works through groups, systems, technology, networks, access, reform, and the rules deciding who gets included</x:v>
      </x:c>
      <x:c r="F12" s="27" t="str">
        <x:v>Sun brings visibility, leadership, purpose, and the decision that sets direction; in Aquarius, it works through groups, systems, technology, networks, access, reform, and the rules deciding who gets included.</x:v>
      </x:c>
      <x:c r="G12" s="27" t="str">
        <x:v>AUTHORED</x:v>
      </x:c>
    </x:row>
    <x:row r="13">
      <x:c r="A13" s="27" t="str">
        <x:v>sun|pisces</x:v>
      </x:c>
      <x:c r="B13" s="27" t="str">
        <x:v>sun</x:v>
      </x:c>
      <x:c r="C13" s="27" t="str">
        <x:v>pisces</x:v>
      </x:c>
      <x:c r="D13" s="27" t="str">
        <x:v>visibility, leadership, purpose, and the decision that sets direction</x:v>
      </x:c>
      <x:c r="E13" s="27" t="str">
        <x:v>works through empathy, imagination, art, collective feeling, ambiguity, porous boundaries, and situations that are hard to measure cleanly</x:v>
      </x:c>
      <x:c r="F13" s="27" t="str">
        <x:v>Sun brings visibility, leadership, purpose, and the decision that sets direction; in Pisces, it works through empathy, imagination, art, collective feeling, ambiguity, porous boundaries, and situations that are hard to measure cleanly.</x:v>
      </x:c>
      <x:c r="G13" s="27" t="str">
        <x:v>AUTHORED</x:v>
      </x:c>
    </x:row>
    <x:row r="14">
      <x:c r="A14" s="27" t="str">
        <x:v>moon|aries</x:v>
      </x:c>
      <x:c r="B14" s="27" t="str">
        <x:v>moon</x:v>
      </x:c>
      <x:c r="C14" s="27" t="str">
        <x:v>aries</x:v>
      </x:c>
      <x:c r="D14" s="27" t="str">
        <x:v>immediate needs, public mood, routines, care, and the human reaction</x:v>
      </x:c>
      <x:c r="E14" s="27" t="str">
        <x:v>moves directly, acts first, and treats delay or excessive consultation as part of the problem</x:v>
      </x:c>
      <x:c r="F14" s="27" t="str">
        <x:v>Moon brings immediate needs, public mood, routines, care, and the human reaction; in Aries, it moves directly, acts first, and treats delay or excessive consultation as part of the problem.</x:v>
      </x:c>
      <x:c r="G14" s="27" t="str">
        <x:v>AUTHORED</x:v>
      </x:c>
    </x:row>
    <x:row r="15">
      <x:c r="A15" s="27" t="str">
        <x:v>moon|taurus</x:v>
      </x:c>
      <x:c r="B15" s="27" t="str">
        <x:v>moon</x:v>
      </x:c>
      <x:c r="C15" s="27" t="str">
        <x:v>taurus</x:v>
      </x:c>
      <x:c r="D15" s="27" t="str">
        <x:v>immediate needs, public mood, routines, care, and the human reaction</x:v>
      </x:c>
      <x:c r="E15" s="27" t="str">
        <x:v>protects money, material stability, ownership, continuity, and what people can physically rely on</x:v>
      </x:c>
      <x:c r="F15" s="27" t="str">
        <x:v>Moon brings immediate needs, public mood, routines, care, and the human reaction; in Taurus, it protects money, material stability, ownership, continuity, and what people can physically rely on.</x:v>
      </x:c>
      <x:c r="G15" s="27" t="str">
        <x:v>AUTHORED</x:v>
      </x:c>
    </x:row>
    <x:row r="16">
      <x:c r="A16" s="27" t="str">
        <x:v>moon|gemini</x:v>
      </x:c>
      <x:c r="B16" s="27" t="str">
        <x:v>moon</x:v>
      </x:c>
      <x:c r="C16" s="27" t="str">
        <x:v>gemini</x:v>
      </x:c>
      <x:c r="D16" s="27" t="str">
        <x:v>immediate needs, public mood, routines, care, and the human reaction</x:v>
      </x:c>
      <x:c r="E16" s="27" t="str">
        <x:v>moves through information, multiple options, comparison, conversation, and fast-changing input</x:v>
      </x:c>
      <x:c r="F16" s="27" t="str">
        <x:v>Moon brings immediate needs, public mood, routines, care, and the human reaction; in Gemini, it moves through information, multiple options, comparison, conversation, and fast-changing input.</x:v>
      </x:c>
      <x:c r="G16" s="27" t="str">
        <x:v>AUTHORED</x:v>
      </x:c>
    </x:row>
    <x:row r="17">
      <x:c r="A17" s="27" t="str">
        <x:v>moon|cancer</x:v>
      </x:c>
      <x:c r="B17" s="27" t="str">
        <x:v>moon</x:v>
      </x:c>
      <x:c r="C17" s="27" t="str">
        <x:v>cancer</x:v>
      </x:c>
      <x:c r="D17" s="27" t="str">
        <x:v>immediate needs, public mood, routines, care, and the human reaction</x:v>
      </x:c>
      <x:c r="E17" s="27" t="str">
        <x:v>prioritizes care, home, family, belonging, protection, and the people most affected by the decision</x:v>
      </x:c>
      <x:c r="F17" s="27" t="str">
        <x:v>Moon brings immediate needs, public mood, routines, care, and the human reaction; in Cancer, it prioritizes care, home, family, belonging, protection, and the people most affected by the decision.</x:v>
      </x:c>
      <x:c r="G17" s="27" t="str">
        <x:v>AUTHORED</x:v>
      </x:c>
    </x:row>
    <x:row r="18">
      <x:c r="A18" s="27" t="str">
        <x:v>moon|leo</x:v>
      </x:c>
      <x:c r="B18" s="27" t="str">
        <x:v>moon</x:v>
      </x:c>
      <x:c r="C18" s="27" t="str">
        <x:v>leo</x:v>
      </x:c>
      <x:c r="D18" s="27" t="str">
        <x:v>immediate needs, public mood, routines, care, and the human reaction</x:v>
      </x:c>
      <x:c r="E18" s="27" t="str">
        <x:v>makes the issue visible, personal, creative, or tied to recognition, leadership, and who receives credit</x:v>
      </x:c>
      <x:c r="F18" s="27" t="str">
        <x:v>Moon brings immediate needs, public mood, routines, care, and the human reaction; in Leo, it makes the issue visible, personal, creative, or tied to recognition, leadership, and who receives credit.</x:v>
      </x:c>
      <x:c r="G18" s="27" t="str">
        <x:v>AUTHORED</x:v>
      </x:c>
    </x:row>
    <x:row r="19">
      <x:c r="A19" s="27" t="str">
        <x:v>moon|virgo</x:v>
      </x:c>
      <x:c r="B19" s="27" t="str">
        <x:v>moon</x:v>
      </x:c>
      <x:c r="C19" s="27" t="str">
        <x:v>virgo</x:v>
      </x:c>
      <x:c r="D19" s="27" t="str">
        <x:v>immediate needs, public mood, routines, care, and the human reaction</x:v>
      </x:c>
      <x:c r="E19" s="27" t="str">
        <x:v>works through details, schedules, repair, service, measurement, quality control, and the part that has to function in practice</x:v>
      </x:c>
      <x:c r="F19" s="27" t="str">
        <x:v>Moon brings immediate needs, public mood, routines, care, and the human reaction; in Virgo, it works through details, schedules, repair, service, measurement, quality control, and the part that has to function in practice.</x:v>
      </x:c>
      <x:c r="G19" s="27" t="str">
        <x:v>AUTHORED</x:v>
      </x:c>
    </x:row>
    <x:row r="20">
      <x:c r="A20" s="27" t="str">
        <x:v>moon|libra</x:v>
      </x:c>
      <x:c r="B20" s="27" t="str">
        <x:v>moon</x:v>
      </x:c>
      <x:c r="C20" s="27" t="str">
        <x:v>libra</x:v>
      </x:c>
      <x:c r="D20" s="27" t="str">
        <x:v>immediate needs, public mood, routines, care, and the human reaction</x:v>
      </x:c>
      <x:c r="E20" s="27" t="str">
        <x:v>works through negotiation, fairness, shared terms, appearances, relationships, and the distribution of responsibility</x:v>
      </x:c>
      <x:c r="F20" s="27" t="str">
        <x:v>Moon brings immediate needs, public mood, routines, care, and the human reaction; in Libra, it works through negotiation, fairness, shared terms, appearances, relationships, and the distribution of responsibility.</x:v>
      </x:c>
      <x:c r="G20" s="27" t="str">
        <x:v>AUTHORED</x:v>
      </x:c>
    </x:row>
    <x:row r="21">
      <x:c r="A21" s="27" t="str">
        <x:v>moon|scorpio</x:v>
      </x:c>
      <x:c r="B21" s="27" t="str">
        <x:v>moon</x:v>
      </x:c>
      <x:c r="C21" s="27" t="str">
        <x:v>scorpio</x:v>
      </x:c>
      <x:c r="D21" s="27" t="str">
        <x:v>immediate needs, public mood, routines, care, and the human reaction</x:v>
      </x:c>
      <x:c r="E21" s="27" t="str">
        <x:v>works through shared resources, privacy, leverage, debt, trust, access, and who controls what cannot easily be replaced</x:v>
      </x:c>
      <x:c r="F21" s="27" t="str">
        <x:v>Moon brings immediate needs, public mood, routines, care, and the human reaction; in Scorpio, it works through shared resources, privacy, leverage, debt, trust, access, and who controls what cannot easily be replaced.</x:v>
      </x:c>
      <x:c r="G21" s="27" t="str">
        <x:v>AUTHORED</x:v>
      </x:c>
    </x:row>
    <x:row r="22">
      <x:c r="A22" s="27" t="str">
        <x:v>moon|sagittarius</x:v>
      </x:c>
      <x:c r="B22" s="27" t="str">
        <x:v>moon</x:v>
      </x:c>
      <x:c r="C22" s="27" t="str">
        <x:v>sagittarius</x:v>
      </x:c>
      <x:c r="D22" s="27" t="str">
        <x:v>immediate needs, public mood, routines, care, and the human reaction</x:v>
      </x:c>
      <x:c r="E22" s="27" t="str">
        <x:v>pushes toward a larger horizon through belief, travel, education, law, publishing, or a bigger public claim</x:v>
      </x:c>
      <x:c r="F22" s="27" t="str">
        <x:v>Moon brings immediate needs, public mood, routines, care, and the human reaction; in Sagittarius, it pushes toward a larger horizon through belief, travel, education, law, publishing, or a bigger public claim.</x:v>
      </x:c>
      <x:c r="G22" s="27" t="str">
        <x:v>AUTHORED</x:v>
      </x:c>
    </x:row>
    <x:row r="23">
      <x:c r="A23" s="27" t="str">
        <x:v>moon|capricorn</x:v>
      </x:c>
      <x:c r="B23" s="27" t="str">
        <x:v>moon</x:v>
      </x:c>
      <x:c r="C23" s="27" t="str">
        <x:v>capricorn</x:v>
      </x:c>
      <x:c r="D23" s="27" t="str">
        <x:v>immediate needs, public mood, routines, care, and the human reaction</x:v>
      </x:c>
      <x:c r="E23" s="27" t="str">
        <x:v>works through hierarchy, deadlines, duty, career, formal authority, long-term structure, and who is responsible for delivery</x:v>
      </x:c>
      <x:c r="F23" s="27" t="str">
        <x:v>The Moon makes immediate needs answer to duty, deadlines, and responsibility. Feelings become difficult to separate from what still has to get done.</x:v>
      </x:c>
      <x:c r="G23" s="27" t="str">
        <x:v>AUTHORED</x:v>
      </x:c>
    </x:row>
    <x:row r="24">
      <x:c r="A24" s="27" t="str">
        <x:v>moon|aquarius</x:v>
      </x:c>
      <x:c r="B24" s="27" t="str">
        <x:v>moon</x:v>
      </x:c>
      <x:c r="C24" s="27" t="str">
        <x:v>aquarius</x:v>
      </x:c>
      <x:c r="D24" s="27" t="str">
        <x:v>immediate needs, public mood, routines, care, and the human reaction</x:v>
      </x:c>
      <x:c r="E24" s="27" t="str">
        <x:v>works through groups, systems, technology, networks, access, reform, and the rules deciding who gets included</x:v>
      </x:c>
      <x:c r="F24" s="27" t="str">
        <x:v>Moon brings immediate needs, public mood, routines, care, and the human reaction; in Aquarius, it works through groups, systems, technology, networks, access, reform, and the rules deciding who gets included.</x:v>
      </x:c>
      <x:c r="G24" s="27" t="str">
        <x:v>AUTHORED</x:v>
      </x:c>
    </x:row>
    <x:row r="25">
      <x:c r="A25" s="27" t="str">
        <x:v>moon|pisces</x:v>
      </x:c>
      <x:c r="B25" s="27" t="str">
        <x:v>moon</x:v>
      </x:c>
      <x:c r="C25" s="27" t="str">
        <x:v>pisces</x:v>
      </x:c>
      <x:c r="D25" s="27" t="str">
        <x:v>immediate needs, public mood, routines, care, and the human reaction</x:v>
      </x:c>
      <x:c r="E25" s="27" t="str">
        <x:v>works through empathy, imagination, art, collective feeling, ambiguity, porous boundaries, and situations that are hard to measure cleanly</x:v>
      </x:c>
      <x:c r="F25" s="27" t="str">
        <x:v>Moon brings immediate needs, public mood, routines, care, and the human reaction; in Pisces, it works through empathy, imagination, art, collective feeling, ambiguity, porous boundaries, and situations that are hard to measure cleanly.</x:v>
      </x:c>
      <x:c r="G25" s="27" t="str">
        <x:v>AUTHORED</x:v>
      </x:c>
    </x:row>
    <x:row r="26">
      <x:c r="A26" s="27" t="str">
        <x:v>mercury|aries</x:v>
      </x:c>
      <x:c r="B26" s="27" t="str">
        <x:v>mercury</x:v>
      </x:c>
      <x:c r="C26" s="27" t="str">
        <x:v>aries</x:v>
      </x:c>
      <x:c r="D26" s="27" t="str">
        <x:v>information, language, decisions, messages, records, and coordination</x:v>
      </x:c>
      <x:c r="E26" s="27" t="str">
        <x:v>moves directly, acts first, and treats delay or excessive consultation as part of the problem</x:v>
      </x:c>
      <x:c r="F26" s="27" t="str">
        <x:v>Mercury speaks and decides quickly, asks the direct question, and can turn a vague problem into something specific enough to challenge.</x:v>
      </x:c>
      <x:c r="G26" s="27" t="str">
        <x:v>AUTHORED</x:v>
      </x:c>
    </x:row>
    <x:row r="27">
      <x:c r="A27" s="27" t="str">
        <x:v>mercury|taurus</x:v>
      </x:c>
      <x:c r="B27" s="27" t="str">
        <x:v>mercury</x:v>
      </x:c>
      <x:c r="C27" s="27" t="str">
        <x:v>taurus</x:v>
      </x:c>
      <x:c r="D27" s="27" t="str">
        <x:v>information, language, decisions, messages, records, and coordination</x:v>
      </x:c>
      <x:c r="E27" s="27" t="str">
        <x:v>protects money, material stability, ownership, continuity, and what people can physically rely on</x:v>
      </x:c>
      <x:c r="F27" s="27" t="str">
        <x:v>Mercury slows the conversation enough to examine price, proof, wording, ownership, and what can actually be relied on after the discussion ends.</x:v>
      </x:c>
      <x:c r="G27" s="27" t="str">
        <x:v>AUTHORED</x:v>
      </x:c>
    </x:row>
    <x:row r="28">
      <x:c r="A28" s="27" t="str">
        <x:v>mercury|gemini</x:v>
      </x:c>
      <x:c r="B28" s="27" t="str">
        <x:v>mercury</x:v>
      </x:c>
      <x:c r="C28" s="27" t="str">
        <x:v>gemini</x:v>
      </x:c>
      <x:c r="D28" s="27" t="str">
        <x:v>information, language, decisions, messages, records, and coordination</x:v>
      </x:c>
      <x:c r="E28" s="27" t="str">
        <x:v>moves through information, multiple options, comparison, conversation, and fast-changing input</x:v>
      </x:c>
      <x:c r="F28" s="27" t="str">
        <x:v>Mercury brings information, language, decisions, messages, records, and coordination; in Gemini, it moves through information, multiple options, comparison, conversation, and fast-changing input.</x:v>
      </x:c>
      <x:c r="G28" s="27" t="str">
        <x:v>AUTHORED</x:v>
      </x:c>
    </x:row>
    <x:row r="29">
      <x:c r="A29" s="27" t="str">
        <x:v>mercury|cancer</x:v>
      </x:c>
      <x:c r="B29" s="27" t="str">
        <x:v>mercury</x:v>
      </x:c>
      <x:c r="C29" s="27" t="str">
        <x:v>cancer</x:v>
      </x:c>
      <x:c r="D29" s="27" t="str">
        <x:v>information, language, decisions, messages, records, and coordination</x:v>
      </x:c>
      <x:c r="E29" s="27" t="str">
        <x:v>prioritizes care, home, family, belonging, protection, and the people most affected by the decision</x:v>
      </x:c>
      <x:c r="F29" s="27" t="str">
        <x:v>Mercury brings information, language, decisions, messages, records, and coordination; in Cancer, it prioritizes care, home, family, belonging, protection, and the people most affected by the decision.</x:v>
      </x:c>
      <x:c r="G29" s="27" t="str">
        <x:v>AUTHORED</x:v>
      </x:c>
    </x:row>
    <x:row r="30">
      <x:c r="A30" s="27" t="str">
        <x:v>mercury|leo</x:v>
      </x:c>
      <x:c r="B30" s="27" t="str">
        <x:v>mercury</x:v>
      </x:c>
      <x:c r="C30" s="27" t="str">
        <x:v>leo</x:v>
      </x:c>
      <x:c r="D30" s="27" t="str">
        <x:v>information, language, decisions, messages, records, and coordination</x:v>
      </x:c>
      <x:c r="E30" s="27" t="str">
        <x:v>makes the issue visible, personal, creative, or tied to recognition, leadership, and who receives credit</x:v>
      </x:c>
      <x:c r="F30" s="27" t="str">
        <x:v>Mercury brings information, language, decisions, messages, records, and coordination; in Leo, it makes the issue visible, personal, creative, or tied to recognition, leadership, and who receives credit.</x:v>
      </x:c>
      <x:c r="G30" s="27" t="str">
        <x:v>AUTHORED</x:v>
      </x:c>
    </x:row>
    <x:row r="31">
      <x:c r="A31" s="27" t="str">
        <x:v>mercury|virgo</x:v>
      </x:c>
      <x:c r="B31" s="27" t="str">
        <x:v>mercury</x:v>
      </x:c>
      <x:c r="C31" s="27" t="str">
        <x:v>virgo</x:v>
      </x:c>
      <x:c r="D31" s="27" t="str">
        <x:v>information, language, decisions, messages, records, and coordination</x:v>
      </x:c>
      <x:c r="E31" s="27" t="str">
        <x:v>works through details, schedules, repair, service, measurement, quality control, and the part that has to function in practice</x:v>
      </x:c>
      <x:c r="F31" s="27" t="str">
        <x:v>Mercury brings information, language, decisions, messages, records, and coordination; in Virgo, it works through details, schedules, repair, service, measurement, quality control, and the part that has to function in practice.</x:v>
      </x:c>
      <x:c r="G31" s="27" t="str">
        <x:v>AUTHORED</x:v>
      </x:c>
    </x:row>
    <x:row r="32">
      <x:c r="A32" s="27" t="str">
        <x:v>mercury|libra</x:v>
      </x:c>
      <x:c r="B32" s="27" t="str">
        <x:v>mercury</x:v>
      </x:c>
      <x:c r="C32" s="27" t="str">
        <x:v>libra</x:v>
      </x:c>
      <x:c r="D32" s="27" t="str">
        <x:v>information, language, decisions, messages, records, and coordination</x:v>
      </x:c>
      <x:c r="E32" s="27" t="str">
        <x:v>works through negotiation, fairness, shared terms, appearances, relationships, and the distribution of responsibility</x:v>
      </x:c>
      <x:c r="F32" s="27" t="str">
        <x:v>Mercury brings information, language, decisions, messages, records, and coordination; in Libra, it works through negotiation, fairness, shared terms, appearances, relationships, and the distribution of responsibility.</x:v>
      </x:c>
      <x:c r="G32" s="27" t="str">
        <x:v>AUTHORED</x:v>
      </x:c>
    </x:row>
    <x:row r="33">
      <x:c r="A33" s="27" t="str">
        <x:v>mercury|scorpio</x:v>
      </x:c>
      <x:c r="B33" s="27" t="str">
        <x:v>mercury</x:v>
      </x:c>
      <x:c r="C33" s="27" t="str">
        <x:v>scorpio</x:v>
      </x:c>
      <x:c r="D33" s="27" t="str">
        <x:v>information, language, decisions, messages, records, and coordination</x:v>
      </x:c>
      <x:c r="E33" s="27" t="str">
        <x:v>works through shared resources, privacy, leverage, debt, trust, access, and who controls what cannot easily be replaced</x:v>
      </x:c>
      <x:c r="F33" s="27" t="str">
        <x:v>Mercury brings information, language, decisions, messages, records, and coordination; in Scorpio, it works through shared resources, privacy, leverage, debt, trust, access, and who controls what cannot easily be replaced.</x:v>
      </x:c>
      <x:c r="G33" s="27" t="str">
        <x:v>AUTHORED</x:v>
      </x:c>
    </x:row>
    <x:row r="34">
      <x:c r="A34" s="27" t="str">
        <x:v>mercury|sagittarius</x:v>
      </x:c>
      <x:c r="B34" s="27" t="str">
        <x:v>mercury</x:v>
      </x:c>
      <x:c r="C34" s="27" t="str">
        <x:v>sagittarius</x:v>
      </x:c>
      <x:c r="D34" s="27" t="str">
        <x:v>information, language, decisions, messages, records, and coordination</x:v>
      </x:c>
      <x:c r="E34" s="27" t="str">
        <x:v>pushes toward a larger horizon through belief, travel, education, law, publishing, or a bigger public claim</x:v>
      </x:c>
      <x:c r="F34" s="27" t="str">
        <x:v>Mercury brings information, language, decisions, messages, records, and coordination; in Sagittarius, it pushes toward a larger horizon through belief, travel, education, law, publishing, or a bigger public claim.</x:v>
      </x:c>
      <x:c r="G34" s="27" t="str">
        <x:v>AUTHORED</x:v>
      </x:c>
    </x:row>
    <x:row r="35">
      <x:c r="A35" s="27" t="str">
        <x:v>mercury|capricorn</x:v>
      </x:c>
      <x:c r="B35" s="27" t="str">
        <x:v>mercury</x:v>
      </x:c>
      <x:c r="C35" s="27" t="str">
        <x:v>capricorn</x:v>
      </x:c>
      <x:c r="D35" s="27" t="str">
        <x:v>information, language, decisions, messages, records, and coordination</x:v>
      </x:c>
      <x:c r="E35" s="27" t="str">
        <x:v>works through hierarchy, deadlines, duty, career, formal authority, long-term structure, and who is responsible for delivery</x:v>
      </x:c>
      <x:c r="F35" s="27" t="str">
        <x:v>Mercury brings information, language, decisions, messages, records, and coordination; in Capricorn, it works through hierarchy, deadlines, duty, career, formal authority, long-term structure, and who is responsible for delivery.</x:v>
      </x:c>
      <x:c r="G35" s="27" t="str">
        <x:v>AUTHORED</x:v>
      </x:c>
    </x:row>
    <x:row r="36">
      <x:c r="A36" s="27" t="str">
        <x:v>mercury|aquarius</x:v>
      </x:c>
      <x:c r="B36" s="27" t="str">
        <x:v>mercury</x:v>
      </x:c>
      <x:c r="C36" s="27" t="str">
        <x:v>aquarius</x:v>
      </x:c>
      <x:c r="D36" s="27" t="str">
        <x:v>information, language, decisions, messages, records, and coordination</x:v>
      </x:c>
      <x:c r="E36" s="27" t="str">
        <x:v>works through groups, systems, technology, networks, access, reform, and the rules deciding who gets included</x:v>
      </x:c>
      <x:c r="F36" s="27" t="str">
        <x:v>Mercury brings information, language, decisions, messages, records, and coordination; in Aquarius, it works through groups, systems, technology, networks, access, reform, and the rules deciding who gets included.</x:v>
      </x:c>
      <x:c r="G36" s="27" t="str">
        <x:v>AUTHORED</x:v>
      </x:c>
    </x:row>
    <x:row r="37">
      <x:c r="A37" s="27" t="str">
        <x:v>mercury|pisces</x:v>
      </x:c>
      <x:c r="B37" s="27" t="str">
        <x:v>mercury</x:v>
      </x:c>
      <x:c r="C37" s="27" t="str">
        <x:v>pisces</x:v>
      </x:c>
      <x:c r="D37" s="27" t="str">
        <x:v>information, language, decisions, messages, records, and coordination</x:v>
      </x:c>
      <x:c r="E37" s="27" t="str">
        <x:v>works through empathy, imagination, art, collective feeling, ambiguity, porous boundaries, and situations that are hard to measure cleanly</x:v>
      </x:c>
      <x:c r="F37" s="27" t="str">
        <x:v>Mercury brings information, language, decisions, messages, records, and coordination; in Pisces, it works through empathy, imagination, art, collective feeling, ambiguity, porous boundaries, and situations that are hard to measure cleanly.</x:v>
      </x:c>
      <x:c r="G37" s="27" t="str">
        <x:v>AUTHORED</x:v>
      </x:c>
    </x:row>
    <x:row r="38">
      <x:c r="A38" s="27" t="str">
        <x:v>venus|aries</x:v>
      </x:c>
      <x:c r="B38" s="27" t="str">
        <x:v>venus</x:v>
      </x:c>
      <x:c r="C38" s="27" t="str">
        <x:v>aries</x:v>
      </x:c>
      <x:c r="D38" s="27" t="str">
        <x:v>value, money, agreements, attraction, goodwill, and what people are willing to support</x:v>
      </x:c>
      <x:c r="E38" s="27" t="str">
        <x:v>moves directly, acts first, and treats delay or excessive consultation as part of the problem</x:v>
      </x:c>
      <x:c r="F38" s="27" t="str">
        <x:v>Venus brings value, money, agreements, attraction, goodwill, and what people are willing to support; in Aries, it moves directly, acts first, and treats delay or excessive consultation as part of the problem.</x:v>
      </x:c>
      <x:c r="G38" s="27" t="str">
        <x:v>AUTHORED</x:v>
      </x:c>
    </x:row>
    <x:row r="39">
      <x:c r="A39" s="27" t="str">
        <x:v>venus|taurus</x:v>
      </x:c>
      <x:c r="B39" s="27" t="str">
        <x:v>venus</x:v>
      </x:c>
      <x:c r="C39" s="27" t="str">
        <x:v>taurus</x:v>
      </x:c>
      <x:c r="D39" s="27" t="str">
        <x:v>value, money, agreements, attraction, goodwill, and what people are willing to support</x:v>
      </x:c>
      <x:c r="E39" s="27" t="str">
        <x:v>protects money, material stability, ownership, continuity, and what people can physically rely on</x:v>
      </x:c>
      <x:c r="F39" s="27" t="str">
        <x:v>Venus brings value, money, agreements, attraction, goodwill, and what people are willing to support; in Taurus, it protects money, material stability, ownership, continuity, and what people can physically rely on.</x:v>
      </x:c>
      <x:c r="G39" s="27" t="str">
        <x:v>AUTHORED</x:v>
      </x:c>
    </x:row>
    <x:row r="40">
      <x:c r="A40" s="27" t="str">
        <x:v>venus|gemini</x:v>
      </x:c>
      <x:c r="B40" s="27" t="str">
        <x:v>venus</x:v>
      </x:c>
      <x:c r="C40" s="27" t="str">
        <x:v>gemini</x:v>
      </x:c>
      <x:c r="D40" s="27" t="str">
        <x:v>value, money, agreements, attraction, goodwill, and what people are willing to support</x:v>
      </x:c>
      <x:c r="E40" s="27" t="str">
        <x:v>moves through information, multiple options, comparison, conversation, and fast-changing input</x:v>
      </x:c>
      <x:c r="F40" s="27" t="str">
        <x:v>Venus brings value, money, agreements, attraction, goodwill, and what people are willing to support; in Gemini, it moves through information, multiple options, comparison, conversation, and fast-changing input.</x:v>
      </x:c>
      <x:c r="G40" s="27" t="str">
        <x:v>AUTHORED</x:v>
      </x:c>
    </x:row>
    <x:row r="41">
      <x:c r="A41" s="27" t="str">
        <x:v>venus|cancer</x:v>
      </x:c>
      <x:c r="B41" s="27" t="str">
        <x:v>venus</x:v>
      </x:c>
      <x:c r="C41" s="27" t="str">
        <x:v>cancer</x:v>
      </x:c>
      <x:c r="D41" s="27" t="str">
        <x:v>value, money, agreements, attraction, goodwill, and what people are willing to support</x:v>
      </x:c>
      <x:c r="E41" s="27" t="str">
        <x:v>prioritizes care, home, family, belonging, protection, and the people most affected by the decision</x:v>
      </x:c>
      <x:c r="F41" s="27" t="str">
        <x:v>Venus brings value, money, agreements, attraction, goodwill, and what people are willing to support; in Cancer, it prioritizes care, home, family, belonging, protection, and the people most affected by the decision.</x:v>
      </x:c>
      <x:c r="G41" s="27" t="str">
        <x:v>AUTHORED</x:v>
      </x:c>
    </x:row>
    <x:row r="42">
      <x:c r="A42" s="27" t="str">
        <x:v>venus|leo</x:v>
      </x:c>
      <x:c r="B42" s="27" t="str">
        <x:v>venus</x:v>
      </x:c>
      <x:c r="C42" s="27" t="str">
        <x:v>leo</x:v>
      </x:c>
      <x:c r="D42" s="27" t="str">
        <x:v>value, money, agreements, attraction, goodwill, and what people are willing to support</x:v>
      </x:c>
      <x:c r="E42" s="27" t="str">
        <x:v>makes the issue visible, personal, creative, or tied to recognition, leadership, and who receives credit</x:v>
      </x:c>
      <x:c r="F42" s="27" t="str">
        <x:v>Venus brings value, money, agreements, attraction, goodwill, and what people are willing to support; in Leo, it makes the issue visible, personal, creative, or tied to recognition, leadership, and who receives credit.</x:v>
      </x:c>
      <x:c r="G42" s="27" t="str">
        <x:v>AUTHORED</x:v>
      </x:c>
    </x:row>
    <x:row r="43">
      <x:c r="A43" s="27" t="str">
        <x:v>venus|virgo</x:v>
      </x:c>
      <x:c r="B43" s="27" t="str">
        <x:v>venus</x:v>
      </x:c>
      <x:c r="C43" s="27" t="str">
        <x:v>virgo</x:v>
      </x:c>
      <x:c r="D43" s="27" t="str">
        <x:v>value, money, agreements, attraction, goodwill, and what people are willing to support</x:v>
      </x:c>
      <x:c r="E43" s="27" t="str">
        <x:v>works through details, schedules, repair, service, measurement, quality control, and the part that has to function in practice</x:v>
      </x:c>
      <x:c r="F43" s="27" t="str">
        <x:v>Venus brings value, money, agreements, attraction, goodwill, and what people are willing to support; in Virgo, it works through details, schedules, repair, service, measurement, quality control, and the part that has to function in practice.</x:v>
      </x:c>
      <x:c r="G43" s="27" t="str">
        <x:v>AUTHORED</x:v>
      </x:c>
    </x:row>
    <x:row r="44">
      <x:c r="A44" s="27" t="str">
        <x:v>venus|libra</x:v>
      </x:c>
      <x:c r="B44" s="27" t="str">
        <x:v>venus</x:v>
      </x:c>
      <x:c r="C44" s="27" t="str">
        <x:v>libra</x:v>
      </x:c>
      <x:c r="D44" s="27" t="str">
        <x:v>value, money, agreements, attraction, goodwill, and what people are willing to support</x:v>
      </x:c>
      <x:c r="E44" s="27" t="str">
        <x:v>works through negotiation, fairness, shared terms, appearances, relationships, and the distribution of responsibility</x:v>
      </x:c>
      <x:c r="F44" s="27" t="str">
        <x:v>Venus negotiates value through fairness, reciprocity, aesthetics, and relationship. The problem appears when keeping the agreement pleasant matters more than making the terms genuinely equal.</x:v>
      </x:c>
      <x:c r="G44" s="27" t="str">
        <x:v>AUTHORED</x:v>
      </x:c>
    </x:row>
    <x:row r="45">
      <x:c r="A45" s="27" t="str">
        <x:v>venus|scorpio</x:v>
      </x:c>
      <x:c r="B45" s="27" t="str">
        <x:v>venus</x:v>
      </x:c>
      <x:c r="C45" s="27" t="str">
        <x:v>scorpio</x:v>
      </x:c>
      <x:c r="D45" s="27" t="str">
        <x:v>value, money, agreements, attraction, goodwill, and what people are willing to support</x:v>
      </x:c>
      <x:c r="E45" s="27" t="str">
        <x:v>works through shared resources, privacy, leverage, debt, trust, access, and who controls what cannot easily be replaced</x:v>
      </x:c>
      <x:c r="F45" s="27" t="str">
        <x:v>Venus brings value, money, agreements, attraction, goodwill, and what people are willing to support; in Scorpio, it works through shared resources, privacy, leverage, debt, trust, access, and who controls what cannot easily be replaced.</x:v>
      </x:c>
      <x:c r="G45" s="27" t="str">
        <x:v>AUTHORED</x:v>
      </x:c>
    </x:row>
    <x:row r="46">
      <x:c r="A46" s="27" t="str">
        <x:v>venus|sagittarius</x:v>
      </x:c>
      <x:c r="B46" s="27" t="str">
        <x:v>venus</x:v>
      </x:c>
      <x:c r="C46" s="27" t="str">
        <x:v>sagittarius</x:v>
      </x:c>
      <x:c r="D46" s="27" t="str">
        <x:v>value, money, agreements, attraction, goodwill, and what people are willing to support</x:v>
      </x:c>
      <x:c r="E46" s="27" t="str">
        <x:v>pushes toward a larger horizon through belief, travel, education, law, publishing, or a bigger public claim</x:v>
      </x:c>
      <x:c r="F46" s="27" t="str">
        <x:v>Venus brings value, money, agreements, attraction, goodwill, and what people are willing to support; in Sagittarius, it pushes toward a larger horizon through belief, travel, education, law, publishing, or a bigger public claim.</x:v>
      </x:c>
      <x:c r="G46" s="27" t="str">
        <x:v>AUTHORED</x:v>
      </x:c>
    </x:row>
    <x:row r="47">
      <x:c r="A47" s="27" t="str">
        <x:v>venus|capricorn</x:v>
      </x:c>
      <x:c r="B47" s="27" t="str">
        <x:v>venus</x:v>
      </x:c>
      <x:c r="C47" s="27" t="str">
        <x:v>capricorn</x:v>
      </x:c>
      <x:c r="D47" s="27" t="str">
        <x:v>value, money, agreements, attraction, goodwill, and what people are willing to support</x:v>
      </x:c>
      <x:c r="E47" s="27" t="str">
        <x:v>works through hierarchy, deadlines, duty, career, formal authority, long-term structure, and who is responsible for delivery</x:v>
      </x:c>
      <x:c r="F47" s="27" t="str">
        <x:v>Venus brings value, money, agreements, attraction, goodwill, and what people are willing to support; in Capricorn, it works through hierarchy, deadlines, duty, career, formal authority, long-term structure, and who is responsible for delivery.</x:v>
      </x:c>
      <x:c r="G47" s="27" t="str">
        <x:v>AUTHORED</x:v>
      </x:c>
    </x:row>
    <x:row r="48">
      <x:c r="A48" s="27" t="str">
        <x:v>venus|aquarius</x:v>
      </x:c>
      <x:c r="B48" s="27" t="str">
        <x:v>venus</x:v>
      </x:c>
      <x:c r="C48" s="27" t="str">
        <x:v>aquarius</x:v>
      </x:c>
      <x:c r="D48" s="27" t="str">
        <x:v>value, money, agreements, attraction, goodwill, and what people are willing to support</x:v>
      </x:c>
      <x:c r="E48" s="27" t="str">
        <x:v>works through groups, systems, technology, networks, access, reform, and the rules deciding who gets included</x:v>
      </x:c>
      <x:c r="F48" s="27" t="str">
        <x:v>Venus brings value, money, agreements, attraction, goodwill, and what people are willing to support; in Aquarius, it works through groups, systems, technology, networks, access, reform, and the rules deciding who gets included.</x:v>
      </x:c>
      <x:c r="G48" s="27" t="str">
        <x:v>AUTHORED</x:v>
      </x:c>
    </x:row>
    <x:row r="49">
      <x:c r="A49" s="27" t="str">
        <x:v>venus|pisces</x:v>
      </x:c>
      <x:c r="B49" s="27" t="str">
        <x:v>venus</x:v>
      </x:c>
      <x:c r="C49" s="27" t="str">
        <x:v>pisces</x:v>
      </x:c>
      <x:c r="D49" s="27" t="str">
        <x:v>value, money, agreements, attraction, goodwill, and what people are willing to support</x:v>
      </x:c>
      <x:c r="E49" s="27" t="str">
        <x:v>works through empathy, imagination, art, collective feeling, ambiguity, porous boundaries, and situations that are hard to measure cleanly</x:v>
      </x:c>
      <x:c r="F49" s="27" t="str">
        <x:v>Venus brings value, money, agreements, attraction, goodwill, and what people are willing to support; in Pisces, it works through empathy, imagination, art, collective feeling, ambiguity, porous boundaries, and situations that are hard to measure cleanly.</x:v>
      </x:c>
      <x:c r="G49" s="27" t="str">
        <x:v>AUTHORED</x:v>
      </x:c>
    </x:row>
    <x:row r="50">
      <x:c r="A50" s="27" t="str">
        <x:v>mars|aries</x:v>
      </x:c>
      <x:c r="B50" s="27" t="str">
        <x:v>mars</x:v>
      </x:c>
      <x:c r="C50" s="27" t="str">
        <x:v>aries</x:v>
      </x:c>
      <x:c r="D50" s="27" t="str">
        <x:v>action, conflict, pressure, enforcement, effort, and the move that changes the situation</x:v>
      </x:c>
      <x:c r="E50" s="27" t="str">
        <x:v>moves directly, acts first, and treats delay or excessive consultation as part of the problem</x:v>
      </x:c>
      <x:c r="F50" s="27" t="str">
        <x:v>Mars brings action, conflict, pressure, enforcement, effort, and the move that changes the situation; in Aries, it moves directly, acts first, and treats delay or excessive consultation as part of the problem.</x:v>
      </x:c>
      <x:c r="G50" s="27" t="str">
        <x:v>AUTHORED</x:v>
      </x:c>
    </x:row>
    <x:row r="51">
      <x:c r="A51" s="27" t="str">
        <x:v>mars|taurus</x:v>
      </x:c>
      <x:c r="B51" s="27" t="str">
        <x:v>mars</x:v>
      </x:c>
      <x:c r="C51" s="27" t="str">
        <x:v>taurus</x:v>
      </x:c>
      <x:c r="D51" s="27" t="str">
        <x:v>action, conflict, pressure, enforcement, effort, and the move that changes the situation</x:v>
      </x:c>
      <x:c r="E51" s="27" t="str">
        <x:v>protects money, material stability, ownership, continuity, and what people can physically rely on</x:v>
      </x:c>
      <x:c r="F51" s="27" t="str">
        <x:v>Mars brings action, conflict, pressure, enforcement, effort, and the move that changes the situation; in Taurus, it protects money, material stability, ownership, continuity, and what people can physically rely on.</x:v>
      </x:c>
      <x:c r="G51" s="27" t="str">
        <x:v>AUTHORED</x:v>
      </x:c>
    </x:row>
    <x:row r="52">
      <x:c r="A52" s="27" t="str">
        <x:v>mars|gemini</x:v>
      </x:c>
      <x:c r="B52" s="27" t="str">
        <x:v>mars</x:v>
      </x:c>
      <x:c r="C52" s="27" t="str">
        <x:v>gemini</x:v>
      </x:c>
      <x:c r="D52" s="27" t="str">
        <x:v>action, conflict, pressure, enforcement, effort, and the move that changes the situation</x:v>
      </x:c>
      <x:c r="E52" s="27" t="str">
        <x:v>moves through information, multiple options, comparison, conversation, and fast-changing input</x:v>
      </x:c>
      <x:c r="F52" s="27" t="str">
        <x:v>Mars brings action, conflict, pressure, enforcement, effort, and the move that changes the situation; in Gemini, it moves through information, multiple options, comparison, conversation, and fast-changing input.</x:v>
      </x:c>
      <x:c r="G52" s="27" t="str">
        <x:v>AUTHORED</x:v>
      </x:c>
    </x:row>
    <x:row r="53">
      <x:c r="A53" s="27" t="str">
        <x:v>mars|cancer</x:v>
      </x:c>
      <x:c r="B53" s="27" t="str">
        <x:v>mars</x:v>
      </x:c>
      <x:c r="C53" s="27" t="str">
        <x:v>cancer</x:v>
      </x:c>
      <x:c r="D53" s="27" t="str">
        <x:v>action, conflict, pressure, enforcement, effort, and the move that changes the situation</x:v>
      </x:c>
      <x:c r="E53" s="27" t="str">
        <x:v>prioritizes care, home, family, belonging, protection, and the people most affected by the decision</x:v>
      </x:c>
      <x:c r="F53" s="27" t="str">
        <x:v>Mars brings action, conflict, pressure, enforcement, effort, and the move that changes the situation; in Cancer, it prioritizes care, home, family, belonging, protection, and the people most affected by the decision.</x:v>
      </x:c>
      <x:c r="G53" s="27" t="str">
        <x:v>AUTHORED</x:v>
      </x:c>
    </x:row>
    <x:row r="54">
      <x:c r="A54" s="27" t="str">
        <x:v>mars|leo</x:v>
      </x:c>
      <x:c r="B54" s="27" t="str">
        <x:v>mars</x:v>
      </x:c>
      <x:c r="C54" s="27" t="str">
        <x:v>leo</x:v>
      </x:c>
      <x:c r="D54" s="27" t="str">
        <x:v>action, conflict, pressure, enforcement, effort, and the move that changes the situation</x:v>
      </x:c>
      <x:c r="E54" s="27" t="str">
        <x:v>makes the issue visible, personal, creative, or tied to recognition, leadership, and who receives credit</x:v>
      </x:c>
      <x:c r="F54" s="27" t="str">
        <x:v>Mars brings action, conflict, pressure, enforcement, effort, and the move that changes the situation; in Leo, it makes the issue visible, personal, creative, or tied to recognition, leadership, and who receives credit.</x:v>
      </x:c>
      <x:c r="G54" s="27" t="str">
        <x:v>AUTHORED</x:v>
      </x:c>
    </x:row>
    <x:row r="55">
      <x:c r="A55" s="27" t="str">
        <x:v>mars|virgo</x:v>
      </x:c>
      <x:c r="B55" s="27" t="str">
        <x:v>mars</x:v>
      </x:c>
      <x:c r="C55" s="27" t="str">
        <x:v>virgo</x:v>
      </x:c>
      <x:c r="D55" s="27" t="str">
        <x:v>action, conflict, pressure, enforcement, effort, and the move that changes the situation</x:v>
      </x:c>
      <x:c r="E55" s="27" t="str">
        <x:v>works through details, schedules, repair, service, measurement, quality control, and the part that has to function in practice</x:v>
      </x:c>
      <x:c r="F55" s="27" t="str">
        <x:v>Mars brings action, conflict, pressure, enforcement, effort, and the move that changes the situation; in Virgo, it works through details, schedules, repair, service, measurement, quality control, and the part that has to function in practice.</x:v>
      </x:c>
      <x:c r="G55" s="27" t="str">
        <x:v>AUTHORED</x:v>
      </x:c>
    </x:row>
    <x:row r="56">
      <x:c r="A56" s="27" t="str">
        <x:v>mars|libra</x:v>
      </x:c>
      <x:c r="B56" s="27" t="str">
        <x:v>mars</x:v>
      </x:c>
      <x:c r="C56" s="27" t="str">
        <x:v>libra</x:v>
      </x:c>
      <x:c r="D56" s="27" t="str">
        <x:v>action, conflict, pressure, enforcement, effort, and the move that changes the situation</x:v>
      </x:c>
      <x:c r="E56" s="27" t="str">
        <x:v>works through negotiation, fairness, shared terms, appearances, relationships, and the distribution of responsibility</x:v>
      </x:c>
      <x:c r="F56" s="27" t="str">
        <x:v>Mars pushes action through negotiation, fairness, and contested responsibility. Conflict often begins when the workload or terms stop looking evenly shared.</x:v>
      </x:c>
      <x:c r="G56" s="27" t="str">
        <x:v>AUTHORED</x:v>
      </x:c>
    </x:row>
    <x:row r="57">
      <x:c r="A57" s="27" t="str">
        <x:v>mars|scorpio</x:v>
      </x:c>
      <x:c r="B57" s="27" t="str">
        <x:v>mars</x:v>
      </x:c>
      <x:c r="C57" s="27" t="str">
        <x:v>scorpio</x:v>
      </x:c>
      <x:c r="D57" s="27" t="str">
        <x:v>action, conflict, pressure, enforcement, effort, and the move that changes the situation</x:v>
      </x:c>
      <x:c r="E57" s="27" t="str">
        <x:v>works through shared resources, privacy, leverage, debt, trust, access, and who controls what cannot easily be replaced</x:v>
      </x:c>
      <x:c r="F57" s="27" t="str">
        <x:v>Mars acts strategically through leverage, access, shared resources, and control. Once pressure rises, the question becomes who actually has the power to force the next move.</x:v>
      </x:c>
      <x:c r="G57" s="27" t="str">
        <x:v>AUTHORED</x:v>
      </x:c>
    </x:row>
    <x:row r="58">
      <x:c r="A58" s="27" t="str">
        <x:v>mars|sagittarius</x:v>
      </x:c>
      <x:c r="B58" s="27" t="str">
        <x:v>mars</x:v>
      </x:c>
      <x:c r="C58" s="27" t="str">
        <x:v>sagittarius</x:v>
      </x:c>
      <x:c r="D58" s="27" t="str">
        <x:v>action, conflict, pressure, enforcement, effort, and the move that changes the situation</x:v>
      </x:c>
      <x:c r="E58" s="27" t="str">
        <x:v>pushes toward a larger horizon through belief, travel, education, law, publishing, or a bigger public claim</x:v>
      </x:c>
      <x:c r="F58" s="27" t="str">
        <x:v>Mars brings action, conflict, pressure, enforcement, effort, and the move that changes the situation; in Sagittarius, it pushes toward a larger horizon through belief, travel, education, law, publishing, or a bigger public claim.</x:v>
      </x:c>
      <x:c r="G58" s="27" t="str">
        <x:v>AUTHORED</x:v>
      </x:c>
    </x:row>
    <x:row r="59">
      <x:c r="A59" s="27" t="str">
        <x:v>mars|capricorn</x:v>
      </x:c>
      <x:c r="B59" s="27" t="str">
        <x:v>mars</x:v>
      </x:c>
      <x:c r="C59" s="27" t="str">
        <x:v>capricorn</x:v>
      </x:c>
      <x:c r="D59" s="27" t="str">
        <x:v>action, conflict, pressure, enforcement, effort, and the move that changes the situation</x:v>
      </x:c>
      <x:c r="E59" s="27" t="str">
        <x:v>works through hierarchy, deadlines, duty, career, formal authority, long-term structure, and who is responsible for delivery</x:v>
      </x:c>
      <x:c r="F59" s="27" t="str">
        <x:v>Mars brings action, conflict, pressure, enforcement, effort, and the move that changes the situation; in Capricorn, it works through hierarchy, deadlines, duty, career, formal authority, long-term structure, and who is responsible for delivery.</x:v>
      </x:c>
      <x:c r="G59" s="27" t="str">
        <x:v>AUTHORED</x:v>
      </x:c>
    </x:row>
    <x:row r="60">
      <x:c r="A60" s="27" t="str">
        <x:v>mars|aquarius</x:v>
      </x:c>
      <x:c r="B60" s="27" t="str">
        <x:v>mars</x:v>
      </x:c>
      <x:c r="C60" s="27" t="str">
        <x:v>aquarius</x:v>
      </x:c>
      <x:c r="D60" s="27" t="str">
        <x:v>action, conflict, pressure, enforcement, effort, and the move that changes the situation</x:v>
      </x:c>
      <x:c r="E60" s="27" t="str">
        <x:v>works through groups, systems, technology, networks, access, reform, and the rules deciding who gets included</x:v>
      </x:c>
      <x:c r="F60" s="27" t="str">
        <x:v>Mars brings action, conflict, pressure, enforcement, effort, and the move that changes the situation; in Aquarius, it works through groups, systems, technology, networks, access, reform, and the rules deciding who gets included.</x:v>
      </x:c>
      <x:c r="G60" s="27" t="str">
        <x:v>AUTHORED</x:v>
      </x:c>
    </x:row>
    <x:row r="61">
      <x:c r="A61" s="27" t="str">
        <x:v>mars|pisces</x:v>
      </x:c>
      <x:c r="B61" s="27" t="str">
        <x:v>mars</x:v>
      </x:c>
      <x:c r="C61" s="27" t="str">
        <x:v>pisces</x:v>
      </x:c>
      <x:c r="D61" s="27" t="str">
        <x:v>action, conflict, pressure, enforcement, effort, and the move that changes the situation</x:v>
      </x:c>
      <x:c r="E61" s="27" t="str">
        <x:v>works through empathy, imagination, art, collective feeling, ambiguity, porous boundaries, and situations that are hard to measure cleanly</x:v>
      </x:c>
      <x:c r="F61" s="27" t="str">
        <x:v>Mars brings action, conflict, pressure, enforcement, effort, and the move that changes the situation; in Pisces, it works through empathy, imagination, art, collective feeling, ambiguity, porous boundaries, and situations that are hard to measure cleanly.</x:v>
      </x:c>
      <x:c r="G61" s="27" t="str">
        <x:v>AUTHORED</x:v>
      </x:c>
    </x:row>
    <x:row r="62">
      <x:c r="A62" s="27" t="str">
        <x:v>jupiter|aries</x:v>
      </x:c>
      <x:c r="B62" s="27" t="str">
        <x:v>jupiter</x:v>
      </x:c>
      <x:c r="C62" s="27" t="str">
        <x:v>aries</x:v>
      </x:c>
      <x:c r="D62" s="27" t="str">
        <x:v>growth, scale, opportunity, belief, reach, and the promise of something larger</x:v>
      </x:c>
      <x:c r="E62" s="27" t="str">
        <x:v>moves directly, acts first, and treats delay or excessive consultation as part of the problem</x:v>
      </x:c>
      <x:c r="F62" s="27" t="str">
        <x:v>Jupiter brings growth, scale, opportunity, belief, reach, and the promise of something larger; in Aries, it moves directly, acts first, and treats delay or excessive consultation as part of the problem.</x:v>
      </x:c>
      <x:c r="G62" s="27" t="str">
        <x:v>AUTHORED</x:v>
      </x:c>
    </x:row>
    <x:row r="63">
      <x:c r="A63" s="27" t="str">
        <x:v>jupiter|taurus</x:v>
      </x:c>
      <x:c r="B63" s="27" t="str">
        <x:v>jupiter</x:v>
      </x:c>
      <x:c r="C63" s="27" t="str">
        <x:v>taurus</x:v>
      </x:c>
      <x:c r="D63" s="27" t="str">
        <x:v>growth, scale, opportunity, belief, reach, and the promise of something larger</x:v>
      </x:c>
      <x:c r="E63" s="27" t="str">
        <x:v>protects money, material stability, ownership, continuity, and what people can physically rely on</x:v>
      </x:c>
      <x:c r="F63" s="27" t="str">
        <x:v>Jupiter brings growth, scale, opportunity, belief, reach, and the promise of something larger; in Taurus, it protects money, material stability, ownership, continuity, and what people can physically rely on.</x:v>
      </x:c>
      <x:c r="G63" s="27" t="str">
        <x:v>AUTHORED</x:v>
      </x:c>
    </x:row>
    <x:row r="64">
      <x:c r="A64" s="27" t="str">
        <x:v>jupiter|gemini</x:v>
      </x:c>
      <x:c r="B64" s="27" t="str">
        <x:v>jupiter</x:v>
      </x:c>
      <x:c r="C64" s="27" t="str">
        <x:v>gemini</x:v>
      </x:c>
      <x:c r="D64" s="27" t="str">
        <x:v>growth, scale, opportunity, belief, reach, and the promise of something larger</x:v>
      </x:c>
      <x:c r="E64" s="27" t="str">
        <x:v>moves through information, multiple options, comparison, conversation, and fast-changing input</x:v>
      </x:c>
      <x:c r="F64" s="27" t="str">
        <x:v>Jupiter brings growth, scale, opportunity, belief, reach, and the promise of something larger; in Gemini, it moves through information, multiple options, comparison, conversation, and fast-changing input.</x:v>
      </x:c>
      <x:c r="G64" s="27" t="str">
        <x:v>AUTHORED</x:v>
      </x:c>
    </x:row>
    <x:row r="65">
      <x:c r="A65" s="27" t="str">
        <x:v>jupiter|cancer</x:v>
      </x:c>
      <x:c r="B65" s="27" t="str">
        <x:v>jupiter</x:v>
      </x:c>
      <x:c r="C65" s="27" t="str">
        <x:v>cancer</x:v>
      </x:c>
      <x:c r="D65" s="27" t="str">
        <x:v>growth, scale, opportunity, belief, reach, and the promise of something larger</x:v>
      </x:c>
      <x:c r="E65" s="27" t="str">
        <x:v>prioritizes care, home, family, belonging, protection, and the people most affected by the decision</x:v>
      </x:c>
      <x:c r="F65" s="27" t="str">
        <x:v>Jupiter enlarges care, housing, family, protection, and emotional support. Generosity can grow quickly, along with the obligations created by promising to take care of everyone.</x:v>
      </x:c>
      <x:c r="G65" s="27" t="str">
        <x:v>AUTHORED</x:v>
      </x:c>
    </x:row>
    <x:row r="66">
      <x:c r="A66" s="27" t="str">
        <x:v>jupiter|leo</x:v>
      </x:c>
      <x:c r="B66" s="27" t="str">
        <x:v>jupiter</x:v>
      </x:c>
      <x:c r="C66" s="27" t="str">
        <x:v>leo</x:v>
      </x:c>
      <x:c r="D66" s="27" t="str">
        <x:v>growth, scale, opportunity, belief, reach, and the promise of something larger</x:v>
      </x:c>
      <x:c r="E66" s="27" t="str">
        <x:v>makes the issue visible, personal, creative, or tied to recognition, leadership, and who receives credit</x:v>
      </x:c>
      <x:c r="F66" s="27" t="str">
        <x:v>Jupiter brings growth, scale, opportunity, belief, reach, and the promise of something larger; in Leo, it makes the issue visible, personal, creative, or tied to recognition, leadership, and who receives credit.</x:v>
      </x:c>
      <x:c r="G66" s="27" t="str">
        <x:v>AUTHORED</x:v>
      </x:c>
    </x:row>
    <x:row r="67">
      <x:c r="A67" s="27" t="str">
        <x:v>jupiter|virgo</x:v>
      </x:c>
      <x:c r="B67" s="27" t="str">
        <x:v>jupiter</x:v>
      </x:c>
      <x:c r="C67" s="27" t="str">
        <x:v>virgo</x:v>
      </x:c>
      <x:c r="D67" s="27" t="str">
        <x:v>growth, scale, opportunity, belief, reach, and the promise of something larger</x:v>
      </x:c>
      <x:c r="E67" s="27" t="str">
        <x:v>works through details, schedules, repair, service, measurement, quality control, and the part that has to function in practice</x:v>
      </x:c>
      <x:c r="F67" s="27" t="str">
        <x:v>Jupiter brings growth, scale, opportunity, belief, reach, and the promise of something larger; in Virgo, it works through details, schedules, repair, service, measurement, quality control, and the part that has to function in practice.</x:v>
      </x:c>
      <x:c r="G67" s="27" t="str">
        <x:v>AUTHORED</x:v>
      </x:c>
    </x:row>
    <x:row r="68">
      <x:c r="A68" s="27" t="str">
        <x:v>jupiter|libra</x:v>
      </x:c>
      <x:c r="B68" s="27" t="str">
        <x:v>jupiter</x:v>
      </x:c>
      <x:c r="C68" s="27" t="str">
        <x:v>libra</x:v>
      </x:c>
      <x:c r="D68" s="27" t="str">
        <x:v>growth, scale, opportunity, belief, reach, and the promise of something larger</x:v>
      </x:c>
      <x:c r="E68" s="27" t="str">
        <x:v>works through negotiation, fairness, shared terms, appearances, relationships, and the distribution of responsibility</x:v>
      </x:c>
      <x:c r="F68" s="27" t="str">
        <x:v>Jupiter brings growth, scale, opportunity, belief, reach, and the promise of something larger; in Libra, it works through negotiation, fairness, shared terms, appearances, relationships, and the distribution of responsibility.</x:v>
      </x:c>
      <x:c r="G68" s="27" t="str">
        <x:v>AUTHORED</x:v>
      </x:c>
    </x:row>
    <x:row r="69">
      <x:c r="A69" s="27" t="str">
        <x:v>jupiter|scorpio</x:v>
      </x:c>
      <x:c r="B69" s="27" t="str">
        <x:v>jupiter</x:v>
      </x:c>
      <x:c r="C69" s="27" t="str">
        <x:v>scorpio</x:v>
      </x:c>
      <x:c r="D69" s="27" t="str">
        <x:v>growth, scale, opportunity, belief, reach, and the promise of something larger</x:v>
      </x:c>
      <x:c r="E69" s="27" t="str">
        <x:v>works through shared resources, privacy, leverage, debt, trust, access, and who controls what cannot easily be replaced</x:v>
      </x:c>
      <x:c r="F69" s="27" t="str">
        <x:v>Jupiter brings growth, scale, opportunity, belief, reach, and the promise of something larger; in Scorpio, it works through shared resources, privacy, leverage, debt, trust, access, and who controls what cannot easily be replaced.</x:v>
      </x:c>
      <x:c r="G69" s="27" t="str">
        <x:v>AUTHORED</x:v>
      </x:c>
    </x:row>
    <x:row r="70">
      <x:c r="A70" s="27" t="str">
        <x:v>jupiter|sagittarius</x:v>
      </x:c>
      <x:c r="B70" s="27" t="str">
        <x:v>jupiter</x:v>
      </x:c>
      <x:c r="C70" s="27" t="str">
        <x:v>sagittarius</x:v>
      </x:c>
      <x:c r="D70" s="27" t="str">
        <x:v>growth, scale, opportunity, belief, reach, and the promise of something larger</x:v>
      </x:c>
      <x:c r="E70" s="27" t="str">
        <x:v>pushes toward a larger horizon through belief, travel, education, law, publishing, or a bigger public claim</x:v>
      </x:c>
      <x:c r="F70" s="27" t="str">
        <x:v>Jupiter brings growth, scale, opportunity, belief, reach, and the promise of something larger; in Sagittarius, it pushes toward a larger horizon through belief, travel, education, law, publishing, or a bigger public claim.</x:v>
      </x:c>
      <x:c r="G70" s="27" t="str">
        <x:v>AUTHORED</x:v>
      </x:c>
    </x:row>
    <x:row r="71">
      <x:c r="A71" s="27" t="str">
        <x:v>jupiter|capricorn</x:v>
      </x:c>
      <x:c r="B71" s="27" t="str">
        <x:v>jupiter</x:v>
      </x:c>
      <x:c r="C71" s="27" t="str">
        <x:v>capricorn</x:v>
      </x:c>
      <x:c r="D71" s="27" t="str">
        <x:v>growth, scale, opportunity, belief, reach, and the promise of something larger</x:v>
      </x:c>
      <x:c r="E71" s="27" t="str">
        <x:v>works through hierarchy, deadlines, duty, career, formal authority, long-term structure, and who is responsible for delivery</x:v>
      </x:c>
      <x:c r="F71" s="27" t="str">
        <x:v>Jupiter brings growth, scale, opportunity, belief, reach, and the promise of something larger; in Capricorn, it works through hierarchy, deadlines, duty, career, formal authority, long-term structure, and who is responsible for delivery.</x:v>
      </x:c>
      <x:c r="G71" s="27" t="str">
        <x:v>AUTHORED</x:v>
      </x:c>
    </x:row>
    <x:row r="72">
      <x:c r="A72" s="27" t="str">
        <x:v>jupiter|aquarius</x:v>
      </x:c>
      <x:c r="B72" s="27" t="str">
        <x:v>jupiter</x:v>
      </x:c>
      <x:c r="C72" s="27" t="str">
        <x:v>aquarius</x:v>
      </x:c>
      <x:c r="D72" s="27" t="str">
        <x:v>growth, scale, opportunity, belief, reach, and the promise of something larger</x:v>
      </x:c>
      <x:c r="E72" s="27" t="str">
        <x:v>works through groups, systems, technology, networks, access, reform, and the rules deciding who gets included</x:v>
      </x:c>
      <x:c r="F72" s="27" t="str">
        <x:v>Jupiter brings growth, scale, opportunity, belief, reach, and the promise of something larger; in Aquarius, it works through groups, systems, technology, networks, access, reform, and the rules deciding who gets included.</x:v>
      </x:c>
      <x:c r="G72" s="27" t="str">
        <x:v>AUTHORED</x:v>
      </x:c>
    </x:row>
    <x:row r="73">
      <x:c r="A73" s="27" t="str">
        <x:v>jupiter|pisces</x:v>
      </x:c>
      <x:c r="B73" s="27" t="str">
        <x:v>jupiter</x:v>
      </x:c>
      <x:c r="C73" s="27" t="str">
        <x:v>pisces</x:v>
      </x:c>
      <x:c r="D73" s="27" t="str">
        <x:v>growth, scale, opportunity, belief, reach, and the promise of something larger</x:v>
      </x:c>
      <x:c r="E73" s="27" t="str">
        <x:v>works through empathy, imagination, art, collective feeling, ambiguity, porous boundaries, and situations that are hard to measure cleanly</x:v>
      </x:c>
      <x:c r="F73" s="27" t="str">
        <x:v>Jupiter brings growth, scale, opportunity, belief, reach, and the promise of something larger; in Pisces, it works through empathy, imagination, art, collective feeling, ambiguity, porous boundaries, and situations that are hard to measure cleanly.</x:v>
      </x:c>
      <x:c r="G73" s="27" t="str">
        <x:v>AUTHORED</x:v>
      </x:c>
    </x:row>
    <x:row r="74">
      <x:c r="A74" s="27" t="str">
        <x:v>saturn|aries</x:v>
      </x:c>
      <x:c r="B74" s="27" t="str">
        <x:v>saturn</x:v>
      </x:c>
      <x:c r="C74" s="27" t="str">
        <x:v>aries</x:v>
      </x:c>
      <x:c r="D74" s="27" t="str">
        <x:v>rules, limits, duty, timing, authority, and consequences that have to be carried</x:v>
      </x:c>
      <x:c r="E74" s="27" t="str">
        <x:v>moves directly, acts first, and treats delay or excessive consultation as part of the problem</x:v>
      </x:c>
      <x:c r="F74" s="27" t="str">
        <x:v>Saturn slows immediate action and makes initiative answer to consequence. The first move matters less than choosing one that can survive the responsibility attached to it.</x:v>
      </x:c>
      <x:c r="G74" s="27" t="str">
        <x:v>AUTHORED</x:v>
      </x:c>
    </x:row>
    <x:row r="75">
      <x:c r="A75" s="27" t="str">
        <x:v>saturn|taurus</x:v>
      </x:c>
      <x:c r="B75" s="27" t="str">
        <x:v>saturn</x:v>
      </x:c>
      <x:c r="C75" s="27" t="str">
        <x:v>taurus</x:v>
      </x:c>
      <x:c r="D75" s="27" t="str">
        <x:v>rules, limits, duty, timing, authority, and consequences that have to be carried</x:v>
      </x:c>
      <x:c r="E75" s="27" t="str">
        <x:v>protects money, material stability, ownership, continuity, and what people can physically rely on</x:v>
      </x:c>
      <x:c r="F75" s="27" t="str">
        <x:v>Saturn brings rules, limits, duty, timing, authority, and consequences that have to be carried; in Taurus, it protects money, material stability, ownership, continuity, and what people can physically rely on.</x:v>
      </x:c>
      <x:c r="G75" s="27" t="str">
        <x:v>AUTHORED</x:v>
      </x:c>
    </x:row>
    <x:row r="76">
      <x:c r="A76" s="27" t="str">
        <x:v>saturn|gemini</x:v>
      </x:c>
      <x:c r="B76" s="27" t="str">
        <x:v>saturn</x:v>
      </x:c>
      <x:c r="C76" s="27" t="str">
        <x:v>gemini</x:v>
      </x:c>
      <x:c r="D76" s="27" t="str">
        <x:v>rules, limits, duty, timing, authority, and consequences that have to be carried</x:v>
      </x:c>
      <x:c r="E76" s="27" t="str">
        <x:v>moves through information, multiple options, comparison, conversation, and fast-changing input</x:v>
      </x:c>
      <x:c r="F76" s="27" t="str">
        <x:v>Saturn brings rules, limits, duty, timing, authority, and consequences that have to be carried; in Gemini, it moves through information, multiple options, comparison, conversation, and fast-changing input.</x:v>
      </x:c>
      <x:c r="G76" s="27" t="str">
        <x:v>AUTHORED</x:v>
      </x:c>
    </x:row>
    <x:row r="77">
      <x:c r="A77" s="27" t="str">
        <x:v>saturn|cancer</x:v>
      </x:c>
      <x:c r="B77" s="27" t="str">
        <x:v>saturn</x:v>
      </x:c>
      <x:c r="C77" s="27" t="str">
        <x:v>cancer</x:v>
      </x:c>
      <x:c r="D77" s="27" t="str">
        <x:v>rules, limits, duty, timing, authority, and consequences that have to be carried</x:v>
      </x:c>
      <x:c r="E77" s="27" t="str">
        <x:v>prioritizes care, home, family, belonging, protection, and the people most affected by the decision</x:v>
      </x:c>
      <x:c r="F77" s="27" t="str">
        <x:v>Saturn brings rules, limits, duty, timing, authority, and consequences that have to be carried; in Cancer, it prioritizes care, home, family, belonging, protection, and the people most affected by the decision.</x:v>
      </x:c>
      <x:c r="G77" s="27" t="str">
        <x:v>AUTHORED</x:v>
      </x:c>
    </x:row>
    <x:row r="78">
      <x:c r="A78" s="27" t="str">
        <x:v>saturn|leo</x:v>
      </x:c>
      <x:c r="B78" s="27" t="str">
        <x:v>saturn</x:v>
      </x:c>
      <x:c r="C78" s="27" t="str">
        <x:v>leo</x:v>
      </x:c>
      <x:c r="D78" s="27" t="str">
        <x:v>rules, limits, duty, timing, authority, and consequences that have to be carried</x:v>
      </x:c>
      <x:c r="E78" s="27" t="str">
        <x:v>makes the issue visible, personal, creative, or tied to recognition, leadership, and who receives credit</x:v>
      </x:c>
      <x:c r="F78" s="27" t="str">
        <x:v>Saturn brings rules, limits, duty, timing, authority, and consequences that have to be carried; in Leo, it makes the issue visible, personal, creative, or tied to recognition, leadership, and who receives credit.</x:v>
      </x:c>
      <x:c r="G78" s="27" t="str">
        <x:v>AUTHORED</x:v>
      </x:c>
    </x:row>
    <x:row r="79">
      <x:c r="A79" s="27" t="str">
        <x:v>saturn|virgo</x:v>
      </x:c>
      <x:c r="B79" s="27" t="str">
        <x:v>saturn</x:v>
      </x:c>
      <x:c r="C79" s="27" t="str">
        <x:v>virgo</x:v>
      </x:c>
      <x:c r="D79" s="27" t="str">
        <x:v>rules, limits, duty, timing, authority, and consequences that have to be carried</x:v>
      </x:c>
      <x:c r="E79" s="27" t="str">
        <x:v>works through details, schedules, repair, service, measurement, quality control, and the part that has to function in practice</x:v>
      </x:c>
      <x:c r="F79" s="27" t="str">
        <x:v>Saturn brings rules, limits, duty, timing, authority, and consequences that have to be carried; in Virgo, it works through details, schedules, repair, service, measurement, quality control, and the part that has to function in practice.</x:v>
      </x:c>
      <x:c r="G79" s="27" t="str">
        <x:v>AUTHORED</x:v>
      </x:c>
    </x:row>
    <x:row r="80">
      <x:c r="A80" s="27" t="str">
        <x:v>saturn|libra</x:v>
      </x:c>
      <x:c r="B80" s="27" t="str">
        <x:v>saturn</x:v>
      </x:c>
      <x:c r="C80" s="27" t="str">
        <x:v>libra</x:v>
      </x:c>
      <x:c r="D80" s="27" t="str">
        <x:v>rules, limits, duty, timing, authority, and consequences that have to be carried</x:v>
      </x:c>
      <x:c r="E80" s="27" t="str">
        <x:v>works through negotiation, fairness, shared terms, appearances, relationships, and the distribution of responsibility</x:v>
      </x:c>
      <x:c r="F80" s="27" t="str">
        <x:v>Saturn brings rules, limits, duty, timing, authority, and consequences that have to be carried; in Libra, it works through negotiation, fairness, shared terms, appearances, relationships, and the distribution of responsibility.</x:v>
      </x:c>
      <x:c r="G80" s="27" t="str">
        <x:v>AUTHORED</x:v>
      </x:c>
    </x:row>
    <x:row r="81">
      <x:c r="A81" s="27" t="str">
        <x:v>saturn|scorpio</x:v>
      </x:c>
      <x:c r="B81" s="27" t="str">
        <x:v>saturn</x:v>
      </x:c>
      <x:c r="C81" s="27" t="str">
        <x:v>scorpio</x:v>
      </x:c>
      <x:c r="D81" s="27" t="str">
        <x:v>rules, limits, duty, timing, authority, and consequences that have to be carried</x:v>
      </x:c>
      <x:c r="E81" s="27" t="str">
        <x:v>works through shared resources, privacy, leverage, debt, trust, access, and who controls what cannot easily be replaced</x:v>
      </x:c>
      <x:c r="F81" s="27" t="str">
        <x:v>Saturn brings rules, limits, duty, timing, authority, and consequences that have to be carried; in Scorpio, it works through shared resources, privacy, leverage, debt, trust, access, and who controls what cannot easily be replaced.</x:v>
      </x:c>
      <x:c r="G81" s="27" t="str">
        <x:v>AUTHORED</x:v>
      </x:c>
    </x:row>
    <x:row r="82">
      <x:c r="A82" s="27" t="str">
        <x:v>saturn|sagittarius</x:v>
      </x:c>
      <x:c r="B82" s="27" t="str">
        <x:v>saturn</x:v>
      </x:c>
      <x:c r="C82" s="27" t="str">
        <x:v>sagittarius</x:v>
      </x:c>
      <x:c r="D82" s="27" t="str">
        <x:v>rules, limits, duty, timing, authority, and consequences that have to be carried</x:v>
      </x:c>
      <x:c r="E82" s="27" t="str">
        <x:v>pushes toward a larger horizon through belief, travel, education, law, publishing, or a bigger public claim</x:v>
      </x:c>
      <x:c r="F82" s="27" t="str">
        <x:v>Saturn brings rules, limits, duty, timing, authority, and consequences that have to be carried; in Sagittarius, it pushes toward a larger horizon through belief, travel, education, law, publishing, or a bigger public claim.</x:v>
      </x:c>
      <x:c r="G82" s="27" t="str">
        <x:v>AUTHORED</x:v>
      </x:c>
    </x:row>
    <x:row r="83">
      <x:c r="A83" s="27" t="str">
        <x:v>saturn|capricorn</x:v>
      </x:c>
      <x:c r="B83" s="27" t="str">
        <x:v>saturn</x:v>
      </x:c>
      <x:c r="C83" s="27" t="str">
        <x:v>capricorn</x:v>
      </x:c>
      <x:c r="D83" s="27" t="str">
        <x:v>rules, limits, duty, timing, authority, and consequences that have to be carried</x:v>
      </x:c>
      <x:c r="E83" s="27" t="str">
        <x:v>works through hierarchy, deadlines, duty, career, formal authority, long-term structure, and who is responsible for delivery</x:v>
      </x:c>
      <x:c r="F83" s="27" t="str">
        <x:v>Saturn brings rules, limits, duty, timing, authority, and consequences that have to be carried; in Capricorn, it works through hierarchy, deadlines, duty, career, formal authority, long-term structure, and who is responsible for delivery.</x:v>
      </x:c>
      <x:c r="G83" s="27" t="str">
        <x:v>AUTHORED</x:v>
      </x:c>
    </x:row>
    <x:row r="84">
      <x:c r="A84" s="27" t="str">
        <x:v>saturn|aquarius</x:v>
      </x:c>
      <x:c r="B84" s="27" t="str">
        <x:v>saturn</x:v>
      </x:c>
      <x:c r="C84" s="27" t="str">
        <x:v>aquarius</x:v>
      </x:c>
      <x:c r="D84" s="27" t="str">
        <x:v>rules, limits, duty, timing, authority, and consequences that have to be carried</x:v>
      </x:c>
      <x:c r="E84" s="27" t="str">
        <x:v>works through groups, systems, technology, networks, access, reform, and the rules deciding who gets included</x:v>
      </x:c>
      <x:c r="F84" s="27" t="str">
        <x:v>Saturn brings rules, limits, duty, timing, authority, and consequences that have to be carried; in Aquarius, it works through groups, systems, technology, networks, access, reform, and the rules deciding who gets included.</x:v>
      </x:c>
      <x:c r="G84" s="27" t="str">
        <x:v>AUTHORED</x:v>
      </x:c>
    </x:row>
    <x:row r="85">
      <x:c r="A85" s="27" t="str">
        <x:v>saturn|pisces</x:v>
      </x:c>
      <x:c r="B85" s="27" t="str">
        <x:v>saturn</x:v>
      </x:c>
      <x:c r="C85" s="27" t="str">
        <x:v>pisces</x:v>
      </x:c>
      <x:c r="D85" s="27" t="str">
        <x:v>rules, limits, duty, timing, authority, and consequences that have to be carried</x:v>
      </x:c>
      <x:c r="E85" s="27" t="str">
        <x:v>works through empathy, imagination, art, collective feeling, ambiguity, porous boundaries, and situations that are hard to measure cleanly</x:v>
      </x:c>
      <x:c r="F85" s="27" t="str">
        <x:v>Saturn brings rules, limits, duty, timing, authority, and consequences that have to be carried; in Pisces, it works through empathy, imagination, art, collective feeling, ambiguity, porous boundaries, and situations that are hard to measure cleanly.</x:v>
      </x:c>
      <x:c r="G85" s="27" t="str">
        <x:v>AUTHORED</x:v>
      </x:c>
    </x:row>
    <x:row r="86">
      <x:c r="A86" s="27" t="str">
        <x:v>uranus|aries</x:v>
      </x:c>
      <x:c r="B86" s="27" t="str">
        <x:v>uranus</x:v>
      </x:c>
      <x:c r="C86" s="27" t="str">
        <x:v>aries</x:v>
      </x:c>
      <x:c r="D86" s="27" t="str">
        <x:v>disruption, innovation, independence, technology, and sudden changes to the existing arrangement</x:v>
      </x:c>
      <x:c r="E86" s="27" t="str">
        <x:v>moves directly, acts first, and treats delay or excessive consultation as part of the problem</x:v>
      </x:c>
      <x:c r="F86" s="27" t="str">
        <x:v>Uranus brings disruption, innovation, independence, technology, and sudden changes to the existing arrangement; in Aries, it moves directly, acts first, and treats delay or excessive consultation as part of the problem.</x:v>
      </x:c>
      <x:c r="G86" s="27" t="str">
        <x:v>AUTHORED</x:v>
      </x:c>
    </x:row>
    <x:row r="87">
      <x:c r="A87" s="27" t="str">
        <x:v>uranus|taurus</x:v>
      </x:c>
      <x:c r="B87" s="27" t="str">
        <x:v>uranus</x:v>
      </x:c>
      <x:c r="C87" s="27" t="str">
        <x:v>taurus</x:v>
      </x:c>
      <x:c r="D87" s="27" t="str">
        <x:v>disruption, innovation, independence, technology, and sudden changes to the existing arrangement</x:v>
      </x:c>
      <x:c r="E87" s="27" t="str">
        <x:v>protects money, material stability, ownership, continuity, and what people can physically rely on</x:v>
      </x:c>
      <x:c r="F87" s="27" t="str">
        <x:v>Uranus disrupts prices, ownership, supplies, accounts, physical resources, and other arrangements people expected to remain stable.</x:v>
      </x:c>
      <x:c r="G87" s="27" t="str">
        <x:v>AUTHORED</x:v>
      </x:c>
    </x:row>
    <x:row r="88">
      <x:c r="A88" s="27" t="str">
        <x:v>uranus|gemini</x:v>
      </x:c>
      <x:c r="B88" s="27" t="str">
        <x:v>uranus</x:v>
      </x:c>
      <x:c r="C88" s="27" t="str">
        <x:v>gemini</x:v>
      </x:c>
      <x:c r="D88" s="27" t="str">
        <x:v>disruption, innovation, independence, technology, and sudden changes to the existing arrangement</x:v>
      </x:c>
      <x:c r="E88" s="27" t="str">
        <x:v>moves through information, multiple options, comparison, conversation, and fast-changing input</x:v>
      </x:c>
      <x:c r="F88" s="27" t="str">
        <x:v>Uranus brings disruption, innovation, independence, technology, and sudden changes to the existing arrangement; in Gemini, it moves through information, multiple options, comparison, conversation, and fast-changing input.</x:v>
      </x:c>
      <x:c r="G88" s="27" t="str">
        <x:v>AUTHORED</x:v>
      </x:c>
    </x:row>
    <x:row r="89">
      <x:c r="A89" s="27" t="str">
        <x:v>uranus|cancer</x:v>
      </x:c>
      <x:c r="B89" s="27" t="str">
        <x:v>uranus</x:v>
      </x:c>
      <x:c r="C89" s="27" t="str">
        <x:v>cancer</x:v>
      </x:c>
      <x:c r="D89" s="27" t="str">
        <x:v>disruption, innovation, independence, technology, and sudden changes to the existing arrangement</x:v>
      </x:c>
      <x:c r="E89" s="27" t="str">
        <x:v>prioritizes care, home, family, belonging, protection, and the people most affected by the decision</x:v>
      </x:c>
      <x:c r="F89" s="27" t="str">
        <x:v>Uranus brings disruption, innovation, independence, technology, and sudden changes to the existing arrangement; in Cancer, it prioritizes care, home, family, belonging, protection, and the people most affected by the decision.</x:v>
      </x:c>
      <x:c r="G89" s="27" t="str">
        <x:v>AUTHORED</x:v>
      </x:c>
    </x:row>
    <x:row r="90">
      <x:c r="A90" s="27" t="str">
        <x:v>uranus|leo</x:v>
      </x:c>
      <x:c r="B90" s="27" t="str">
        <x:v>uranus</x:v>
      </x:c>
      <x:c r="C90" s="27" t="str">
        <x:v>leo</x:v>
      </x:c>
      <x:c r="D90" s="27" t="str">
        <x:v>disruption, innovation, independence, technology, and sudden changes to the existing arrangement</x:v>
      </x:c>
      <x:c r="E90" s="27" t="str">
        <x:v>makes the issue visible, personal, creative, or tied to recognition, leadership, and who receives credit</x:v>
      </x:c>
      <x:c r="F90" s="27" t="str">
        <x:v>Uranus brings disruption, innovation, independence, technology, and sudden changes to the existing arrangement; in Leo, it makes the issue visible, personal, creative, or tied to recognition, leadership, and who receives credit.</x:v>
      </x:c>
      <x:c r="G90" s="27" t="str">
        <x:v>AUTHORED</x:v>
      </x:c>
    </x:row>
    <x:row r="91">
      <x:c r="A91" s="27" t="str">
        <x:v>uranus|virgo</x:v>
      </x:c>
      <x:c r="B91" s="27" t="str">
        <x:v>uranus</x:v>
      </x:c>
      <x:c r="C91" s="27" t="str">
        <x:v>virgo</x:v>
      </x:c>
      <x:c r="D91" s="27" t="str">
        <x:v>disruption, innovation, independence, technology, and sudden changes to the existing arrangement</x:v>
      </x:c>
      <x:c r="E91" s="27" t="str">
        <x:v>works through details, schedules, repair, service, measurement, quality control, and the part that has to function in practice</x:v>
      </x:c>
      <x:c r="F91" s="27" t="str">
        <x:v>Uranus brings disruption, innovation, independence, technology, and sudden changes to the existing arrangement; in Virgo, it works through details, schedules, repair, service, measurement, quality control, and the part that has to function in practice.</x:v>
      </x:c>
      <x:c r="G91" s="27" t="str">
        <x:v>AUTHORED</x:v>
      </x:c>
    </x:row>
    <x:row r="92">
      <x:c r="A92" s="27" t="str">
        <x:v>uranus|libra</x:v>
      </x:c>
      <x:c r="B92" s="27" t="str">
        <x:v>uranus</x:v>
      </x:c>
      <x:c r="C92" s="27" t="str">
        <x:v>libra</x:v>
      </x:c>
      <x:c r="D92" s="27" t="str">
        <x:v>disruption, innovation, independence, technology, and sudden changes to the existing arrangement</x:v>
      </x:c>
      <x:c r="E92" s="27" t="str">
        <x:v>works through negotiation, fairness, shared terms, appearances, relationships, and the distribution of responsibility</x:v>
      </x:c>
      <x:c r="F92" s="27" t="str">
        <x:v>Uranus brings disruption, innovation, independence, technology, and sudden changes to the existing arrangement; in Libra, it works through negotiation, fairness, shared terms, appearances, relationships, and the distribution of responsibility.</x:v>
      </x:c>
      <x:c r="G92" s="27" t="str">
        <x:v>AUTHORED</x:v>
      </x:c>
    </x:row>
    <x:row r="93">
      <x:c r="A93" s="27" t="str">
        <x:v>uranus|scorpio</x:v>
      </x:c>
      <x:c r="B93" s="27" t="str">
        <x:v>uranus</x:v>
      </x:c>
      <x:c r="C93" s="27" t="str">
        <x:v>scorpio</x:v>
      </x:c>
      <x:c r="D93" s="27" t="str">
        <x:v>disruption, innovation, independence, technology, and sudden changes to the existing arrangement</x:v>
      </x:c>
      <x:c r="E93" s="27" t="str">
        <x:v>works through shared resources, privacy, leverage, debt, trust, access, and who controls what cannot easily be replaced</x:v>
      </x:c>
      <x:c r="F93" s="27" t="str">
        <x:v>Uranus brings disruption, innovation, independence, technology, and sudden changes to the existing arrangement; in Scorpio, it works through shared resources, privacy, leverage, debt, trust, access, and who controls what cannot easily be replaced.</x:v>
      </x:c>
      <x:c r="G93" s="27" t="str">
        <x:v>AUTHORED</x:v>
      </x:c>
    </x:row>
    <x:row r="94">
      <x:c r="A94" s="27" t="str">
        <x:v>uranus|sagittarius</x:v>
      </x:c>
      <x:c r="B94" s="27" t="str">
        <x:v>uranus</x:v>
      </x:c>
      <x:c r="C94" s="27" t="str">
        <x:v>sagittarius</x:v>
      </x:c>
      <x:c r="D94" s="27" t="str">
        <x:v>disruption, innovation, independence, technology, and sudden changes to the existing arrangement</x:v>
      </x:c>
      <x:c r="E94" s="27" t="str">
        <x:v>pushes toward a larger horizon through belief, travel, education, law, publishing, or a bigger public claim</x:v>
      </x:c>
      <x:c r="F94" s="27" t="str">
        <x:v>Uranus brings disruption, innovation, independence, technology, and sudden changes to the existing arrangement; in Sagittarius, it pushes toward a larger horizon through belief, travel, education, law, publishing, or a bigger public claim.</x:v>
      </x:c>
      <x:c r="G94" s="27" t="str">
        <x:v>AUTHORED</x:v>
      </x:c>
    </x:row>
    <x:row r="95">
      <x:c r="A95" s="27" t="str">
        <x:v>uranus|capricorn</x:v>
      </x:c>
      <x:c r="B95" s="27" t="str">
        <x:v>uranus</x:v>
      </x:c>
      <x:c r="C95" s="27" t="str">
        <x:v>capricorn</x:v>
      </x:c>
      <x:c r="D95" s="27" t="str">
        <x:v>disruption, innovation, independence, technology, and sudden changes to the existing arrangement</x:v>
      </x:c>
      <x:c r="E95" s="27" t="str">
        <x:v>works through hierarchy, deadlines, duty, career, formal authority, long-term structure, and who is responsible for delivery</x:v>
      </x:c>
      <x:c r="F95" s="27" t="str">
        <x:v>Uranus brings disruption, innovation, independence, technology, and sudden changes to the existing arrangement; in Capricorn, it works through hierarchy, deadlines, duty, career, formal authority, long-term structure, and who is responsible for delivery.</x:v>
      </x:c>
      <x:c r="G95" s="27" t="str">
        <x:v>AUTHORED</x:v>
      </x:c>
    </x:row>
    <x:row r="96">
      <x:c r="A96" s="27" t="str">
        <x:v>uranus|aquarius</x:v>
      </x:c>
      <x:c r="B96" s="27" t="str">
        <x:v>uranus</x:v>
      </x:c>
      <x:c r="C96" s="27" t="str">
        <x:v>aquarius</x:v>
      </x:c>
      <x:c r="D96" s="27" t="str">
        <x:v>disruption, innovation, independence, technology, and sudden changes to the existing arrangement</x:v>
      </x:c>
      <x:c r="E96" s="27" t="str">
        <x:v>works through groups, systems, technology, networks, access, reform, and the rules deciding who gets included</x:v>
      </x:c>
      <x:c r="F96" s="27" t="str">
        <x:v>Uranus brings disruption, innovation, independence, technology, and sudden changes to the existing arrangement; in Aquarius, it works through groups, systems, technology, networks, access, reform, and the rules deciding who gets included.</x:v>
      </x:c>
      <x:c r="G96" s="27" t="str">
        <x:v>AUTHORED</x:v>
      </x:c>
    </x:row>
    <x:row r="97">
      <x:c r="A97" s="27" t="str">
        <x:v>uranus|pisces</x:v>
      </x:c>
      <x:c r="B97" s="27" t="str">
        <x:v>uranus</x:v>
      </x:c>
      <x:c r="C97" s="27" t="str">
        <x:v>pisces</x:v>
      </x:c>
      <x:c r="D97" s="27" t="str">
        <x:v>disruption, innovation, independence, technology, and sudden changes to the existing arrangement</x:v>
      </x:c>
      <x:c r="E97" s="27" t="str">
        <x:v>works through empathy, imagination, art, collective feeling, ambiguity, porous boundaries, and situations that are hard to measure cleanly</x:v>
      </x:c>
      <x:c r="F97" s="27" t="str">
        <x:v>Uranus brings disruption, innovation, independence, technology, and sudden changes to the existing arrangement; in Pisces, it works through empathy, imagination, art, collective feeling, ambiguity, porous boundaries, and situations that are hard to measure cleanly.</x:v>
      </x:c>
      <x:c r="G97" s="27" t="str">
        <x:v>AUTHORED</x:v>
      </x:c>
    </x:row>
    <x:row r="98">
      <x:c r="A98" s="27" t="str">
        <x:v>neptune|aries</x:v>
      </x:c>
      <x:c r="B98" s="27" t="str">
        <x:v>neptune</x:v>
      </x:c>
      <x:c r="C98" s="27" t="str">
        <x:v>aries</x:v>
      </x:c>
      <x:c r="D98" s="27" t="str">
        <x:v>ideals, empathy, imagination, ambiguity, image, and the story people want to believe</x:v>
      </x:c>
      <x:c r="E98" s="27" t="str">
        <x:v>moves directly, acts first, and treats delay or excessive consultation as part of the problem</x:v>
      </x:c>
      <x:c r="F98" s="27" t="str">
        <x:v>Neptune brings ideals, empathy, imagination, ambiguity, image, and the story people want to believe; in Aries, it moves directly, acts first, and treats delay or excessive consultation as part of the problem.</x:v>
      </x:c>
      <x:c r="G98" s="27" t="str">
        <x:v>AUTHORED</x:v>
      </x:c>
    </x:row>
    <x:row r="99">
      <x:c r="A99" s="27" t="str">
        <x:v>neptune|taurus</x:v>
      </x:c>
      <x:c r="B99" s="27" t="str">
        <x:v>neptune</x:v>
      </x:c>
      <x:c r="C99" s="27" t="str">
        <x:v>taurus</x:v>
      </x:c>
      <x:c r="D99" s="27" t="str">
        <x:v>ideals, empathy, imagination, ambiguity, image, and the story people want to believe</x:v>
      </x:c>
      <x:c r="E99" s="27" t="str">
        <x:v>protects money, material stability, ownership, continuity, and what people can physically rely on</x:v>
      </x:c>
      <x:c r="F99" s="27" t="str">
        <x:v>Neptune brings ideals, empathy, imagination, ambiguity, image, and the story people want to believe; in Taurus, it protects money, material stability, ownership, continuity, and what people can physically rely on.</x:v>
      </x:c>
      <x:c r="G99" s="27" t="str">
        <x:v>AUTHORED</x:v>
      </x:c>
    </x:row>
    <x:row r="100">
      <x:c r="A100" s="27" t="str">
        <x:v>neptune|gemini</x:v>
      </x:c>
      <x:c r="B100" s="27" t="str">
        <x:v>neptune</x:v>
      </x:c>
      <x:c r="C100" s="27" t="str">
        <x:v>gemini</x:v>
      </x:c>
      <x:c r="D100" s="27" t="str">
        <x:v>ideals, empathy, imagination, ambiguity, image, and the story people want to believe</x:v>
      </x:c>
      <x:c r="E100" s="27" t="str">
        <x:v>moves through information, multiple options, comparison, conversation, and fast-changing input</x:v>
      </x:c>
      <x:c r="F100" s="27" t="str">
        <x:v>Neptune brings ideals, empathy, imagination, ambiguity, image, and the story people want to believe; in Gemini, it moves through information, multiple options, comparison, conversation, and fast-changing input.</x:v>
      </x:c>
      <x:c r="G100" s="27" t="str">
        <x:v>AUTHORED</x:v>
      </x:c>
    </x:row>
    <x:row r="101">
      <x:c r="A101" s="27" t="str">
        <x:v>neptune|cancer</x:v>
      </x:c>
      <x:c r="B101" s="27" t="str">
        <x:v>neptune</x:v>
      </x:c>
      <x:c r="C101" s="27" t="str">
        <x:v>cancer</x:v>
      </x:c>
      <x:c r="D101" s="27" t="str">
        <x:v>ideals, empathy, imagination, ambiguity, image, and the story people want to believe</x:v>
      </x:c>
      <x:c r="E101" s="27" t="str">
        <x:v>prioritizes care, home, family, belonging, protection, and the people most affected by the decision</x:v>
      </x:c>
      <x:c r="F101" s="27" t="str">
        <x:v>Neptune brings ideals, empathy, imagination, ambiguity, image, and the story people want to believe; in Cancer, it prioritizes care, home, family, belonging, protection, and the people most affected by the decision.</x:v>
      </x:c>
      <x:c r="G101" s="27" t="str">
        <x:v>AUTHORED</x:v>
      </x:c>
    </x:row>
    <x:row r="102">
      <x:c r="A102" s="27" t="str">
        <x:v>neptune|leo</x:v>
      </x:c>
      <x:c r="B102" s="27" t="str">
        <x:v>neptune</x:v>
      </x:c>
      <x:c r="C102" s="27" t="str">
        <x:v>leo</x:v>
      </x:c>
      <x:c r="D102" s="27" t="str">
        <x:v>ideals, empathy, imagination, ambiguity, image, and the story people want to believe</x:v>
      </x:c>
      <x:c r="E102" s="27" t="str">
        <x:v>makes the issue visible, personal, creative, or tied to recognition, leadership, and who receives credit</x:v>
      </x:c>
      <x:c r="F102" s="27" t="str">
        <x:v>Neptune brings ideals, empathy, imagination, ambiguity, image, and the story people want to believe; in Leo, it makes the issue visible, personal, creative, or tied to recognition, leadership, and who receives credit.</x:v>
      </x:c>
      <x:c r="G102" s="27" t="str">
        <x:v>AUTHORED</x:v>
      </x:c>
    </x:row>
    <x:row r="103">
      <x:c r="A103" s="27" t="str">
        <x:v>neptune|virgo</x:v>
      </x:c>
      <x:c r="B103" s="27" t="str">
        <x:v>neptune</x:v>
      </x:c>
      <x:c r="C103" s="27" t="str">
        <x:v>virgo</x:v>
      </x:c>
      <x:c r="D103" s="27" t="str">
        <x:v>ideals, empathy, imagination, ambiguity, image, and the story people want to believe</x:v>
      </x:c>
      <x:c r="E103" s="27" t="str">
        <x:v>works through details, schedules, repair, service, measurement, quality control, and the part that has to function in practice</x:v>
      </x:c>
      <x:c r="F103" s="27" t="str">
        <x:v>Neptune brings ideals, empathy, imagination, ambiguity, image, and the story people want to believe; in Virgo, it works through details, schedules, repair, service, measurement, quality control, and the part that has to function in practice.</x:v>
      </x:c>
      <x:c r="G103" s="27" t="str">
        <x:v>AUTHORED</x:v>
      </x:c>
    </x:row>
    <x:row r="104">
      <x:c r="A104" s="27" t="str">
        <x:v>neptune|libra</x:v>
      </x:c>
      <x:c r="B104" s="27" t="str">
        <x:v>neptune</x:v>
      </x:c>
      <x:c r="C104" s="27" t="str">
        <x:v>libra</x:v>
      </x:c>
      <x:c r="D104" s="27" t="str">
        <x:v>ideals, empathy, imagination, ambiguity, image, and the story people want to believe</x:v>
      </x:c>
      <x:c r="E104" s="27" t="str">
        <x:v>works through negotiation, fairness, shared terms, appearances, relationships, and the distribution of responsibility</x:v>
      </x:c>
      <x:c r="F104" s="27" t="str">
        <x:v>Neptune brings ideals, empathy, imagination, ambiguity, image, and the story people want to believe; in Libra, it works through negotiation, fairness, shared terms, appearances, relationships, and the distribution of responsibility.</x:v>
      </x:c>
      <x:c r="G104" s="27" t="str">
        <x:v>AUTHORED</x:v>
      </x:c>
    </x:row>
    <x:row r="105">
      <x:c r="A105" s="27" t="str">
        <x:v>neptune|scorpio</x:v>
      </x:c>
      <x:c r="B105" s="27" t="str">
        <x:v>neptune</x:v>
      </x:c>
      <x:c r="C105" s="27" t="str">
        <x:v>scorpio</x:v>
      </x:c>
      <x:c r="D105" s="27" t="str">
        <x:v>ideals, empathy, imagination, ambiguity, image, and the story people want to believe</x:v>
      </x:c>
      <x:c r="E105" s="27" t="str">
        <x:v>works through shared resources, privacy, leverage, debt, trust, access, and who controls what cannot easily be replaced</x:v>
      </x:c>
      <x:c r="F105" s="27" t="str">
        <x:v>Neptune brings ideals, empathy, imagination, ambiguity, image, and the story people want to believe; in Scorpio, it works through shared resources, privacy, leverage, debt, trust, access, and who controls what cannot easily be replaced.</x:v>
      </x:c>
      <x:c r="G105" s="27" t="str">
        <x:v>AUTHORED</x:v>
      </x:c>
    </x:row>
    <x:row r="106">
      <x:c r="A106" s="27" t="str">
        <x:v>neptune|sagittarius</x:v>
      </x:c>
      <x:c r="B106" s="27" t="str">
        <x:v>neptune</x:v>
      </x:c>
      <x:c r="C106" s="27" t="str">
        <x:v>sagittarius</x:v>
      </x:c>
      <x:c r="D106" s="27" t="str">
        <x:v>ideals, empathy, imagination, ambiguity, image, and the story people want to believe</x:v>
      </x:c>
      <x:c r="E106" s="27" t="str">
        <x:v>pushes toward a larger horizon through belief, travel, education, law, publishing, or a bigger public claim</x:v>
      </x:c>
      <x:c r="F106" s="27" t="str">
        <x:v>Neptune brings ideals, empathy, imagination, ambiguity, image, and the story people want to believe; in Sagittarius, it pushes toward a larger horizon through belief, travel, education, law, publishing, or a bigger public claim.</x:v>
      </x:c>
      <x:c r="G106" s="27" t="str">
        <x:v>AUTHORED</x:v>
      </x:c>
    </x:row>
    <x:row r="107">
      <x:c r="A107" s="27" t="str">
        <x:v>neptune|capricorn</x:v>
      </x:c>
      <x:c r="B107" s="27" t="str">
        <x:v>neptune</x:v>
      </x:c>
      <x:c r="C107" s="27" t="str">
        <x:v>capricorn</x:v>
      </x:c>
      <x:c r="D107" s="27" t="str">
        <x:v>ideals, empathy, imagination, ambiguity, image, and the story people want to believe</x:v>
      </x:c>
      <x:c r="E107" s="27" t="str">
        <x:v>works through hierarchy, deadlines, duty, career, formal authority, long-term structure, and who is responsible for delivery</x:v>
      </x:c>
      <x:c r="F107" s="27" t="str">
        <x:v>Neptune brings ideals, empathy, imagination, ambiguity, image, and the story people want to believe; in Capricorn, it works through hierarchy, deadlines, duty, career, formal authority, long-term structure, and who is responsible for delivery.</x:v>
      </x:c>
      <x:c r="G107" s="27" t="str">
        <x:v>AUTHORED</x:v>
      </x:c>
    </x:row>
    <x:row r="108">
      <x:c r="A108" s="27" t="str">
        <x:v>neptune|aquarius</x:v>
      </x:c>
      <x:c r="B108" s="27" t="str">
        <x:v>neptune</x:v>
      </x:c>
      <x:c r="C108" s="27" t="str">
        <x:v>aquarius</x:v>
      </x:c>
      <x:c r="D108" s="27" t="str">
        <x:v>ideals, empathy, imagination, ambiguity, image, and the story people want to believe</x:v>
      </x:c>
      <x:c r="E108" s="27" t="str">
        <x:v>works through groups, systems, technology, networks, access, reform, and the rules deciding who gets included</x:v>
      </x:c>
      <x:c r="F108" s="27" t="str">
        <x:v>Neptune brings ideals, empathy, imagination, ambiguity, image, and the story people want to believe; in Aquarius, it works through groups, systems, technology, networks, access, reform, and the rules deciding who gets included.</x:v>
      </x:c>
      <x:c r="G108" s="27" t="str">
        <x:v>AUTHORED</x:v>
      </x:c>
    </x:row>
    <x:row r="109">
      <x:c r="A109" s="27" t="str">
        <x:v>neptune|pisces</x:v>
      </x:c>
      <x:c r="B109" s="27" t="str">
        <x:v>neptune</x:v>
      </x:c>
      <x:c r="C109" s="27" t="str">
        <x:v>pisces</x:v>
      </x:c>
      <x:c r="D109" s="27" t="str">
        <x:v>ideals, empathy, imagination, ambiguity, image, and the story people want to believe</x:v>
      </x:c>
      <x:c r="E109" s="27" t="str">
        <x:v>works through empathy, imagination, art, collective feeling, ambiguity, porous boundaries, and situations that are hard to measure cleanly</x:v>
      </x:c>
      <x:c r="F109" s="27" t="str">
        <x:v>Neptune brings ideals, empathy, imagination, ambiguity, image, and the story people want to believe; in Pisces, it works through empathy, imagination, art, collective feeling, ambiguity, porous boundaries, and situations that are hard to measure cleanly.</x:v>
      </x:c>
      <x:c r="G109" s="27" t="str">
        <x:v>AUTHORED</x:v>
      </x:c>
    </x:row>
    <x:row r="110">
      <x:c r="A110" s="27" t="str">
        <x:v>pluto|aries</x:v>
      </x:c>
      <x:c r="B110" s="27" t="str">
        <x:v>pluto</x:v>
      </x:c>
      <x:c r="C110" s="27" t="str">
        <x:v>aries</x:v>
      </x:c>
      <x:c r="D110" s="27" t="str">
        <x:v>power, leverage, ownership, secrecy, control, and consequences operating underneath the visible story</x:v>
      </x:c>
      <x:c r="E110" s="27" t="str">
        <x:v>moves directly, acts first, and treats delay or excessive consultation as part of the problem</x:v>
      </x:c>
      <x:c r="F110" s="27" t="str">
        <x:v>Pluto brings power, leverage, ownership, secrecy, control, and consequences operating underneath the visible story; in Aries, it moves directly, acts first, and treats delay or excessive consultation as part of the problem.</x:v>
      </x:c>
      <x:c r="G110" s="27" t="str">
        <x:v>AUTHORED</x:v>
      </x:c>
    </x:row>
    <x:row r="111">
      <x:c r="A111" s="27" t="str">
        <x:v>pluto|taurus</x:v>
      </x:c>
      <x:c r="B111" s="27" t="str">
        <x:v>pluto</x:v>
      </x:c>
      <x:c r="C111" s="27" t="str">
        <x:v>taurus</x:v>
      </x:c>
      <x:c r="D111" s="27" t="str">
        <x:v>power, leverage, ownership, secrecy, control, and consequences operating underneath the visible story</x:v>
      </x:c>
      <x:c r="E111" s="27" t="str">
        <x:v>protects money, material stability, ownership, continuity, and what people can physically rely on</x:v>
      </x:c>
      <x:c r="F111" s="27" t="str">
        <x:v>Pluto brings power, leverage, ownership, secrecy, control, and consequences operating underneath the visible story; in Taurus, it protects money, material stability, ownership, continuity, and what people can physically rely on.</x:v>
      </x:c>
      <x:c r="G111" s="27" t="str">
        <x:v>AUTHORED</x:v>
      </x:c>
    </x:row>
    <x:row r="112">
      <x:c r="A112" s="27" t="str">
        <x:v>pluto|gemini</x:v>
      </x:c>
      <x:c r="B112" s="27" t="str">
        <x:v>pluto</x:v>
      </x:c>
      <x:c r="C112" s="27" t="str">
        <x:v>gemini</x:v>
      </x:c>
      <x:c r="D112" s="27" t="str">
        <x:v>power, leverage, ownership, secrecy, control, and consequences operating underneath the visible story</x:v>
      </x:c>
      <x:c r="E112" s="27" t="str">
        <x:v>moves through information, multiple options, comparison, conversation, and fast-changing input</x:v>
      </x:c>
      <x:c r="F112" s="27" t="str">
        <x:v>Pluto brings power, leverage, ownership, secrecy, control, and consequences operating underneath the visible story; in Gemini, it moves through information, multiple options, comparison, conversation, and fast-changing input.</x:v>
      </x:c>
      <x:c r="G112" s="27" t="str">
        <x:v>AUTHORED</x:v>
      </x:c>
    </x:row>
    <x:row r="113">
      <x:c r="A113" s="27" t="str">
        <x:v>pluto|cancer</x:v>
      </x:c>
      <x:c r="B113" s="27" t="str">
        <x:v>pluto</x:v>
      </x:c>
      <x:c r="C113" s="27" t="str">
        <x:v>cancer</x:v>
      </x:c>
      <x:c r="D113" s="27" t="str">
        <x:v>power, leverage, ownership, secrecy, control, and consequences operating underneath the visible story</x:v>
      </x:c>
      <x:c r="E113" s="27" t="str">
        <x:v>prioritizes care, home, family, belonging, protection, and the people most affected by the decision</x:v>
      </x:c>
      <x:c r="F113" s="27" t="str">
        <x:v>Pluto brings power, leverage, ownership, secrecy, control, and consequences operating underneath the visible story; in Cancer, it prioritizes care, home, family, belonging, protection, and the people most affected by the decision.</x:v>
      </x:c>
      <x:c r="G113" s="27" t="str">
        <x:v>AUTHORED</x:v>
      </x:c>
    </x:row>
    <x:row r="114">
      <x:c r="A114" s="27" t="str">
        <x:v>pluto|leo</x:v>
      </x:c>
      <x:c r="B114" s="27" t="str">
        <x:v>pluto</x:v>
      </x:c>
      <x:c r="C114" s="27" t="str">
        <x:v>leo</x:v>
      </x:c>
      <x:c r="D114" s="27" t="str">
        <x:v>power, leverage, ownership, secrecy, control, and consequences operating underneath the visible story</x:v>
      </x:c>
      <x:c r="E114" s="27" t="str">
        <x:v>makes the issue visible, personal, creative, or tied to recognition, leadership, and who receives credit</x:v>
      </x:c>
      <x:c r="F114" s="27" t="str">
        <x:v>Pluto brings power, leverage, ownership, secrecy, control, and consequences operating underneath the visible story; in Leo, it makes the issue visible, personal, creative, or tied to recognition, leadership, and who receives credit.</x:v>
      </x:c>
      <x:c r="G114" s="27" t="str">
        <x:v>AUTHORED</x:v>
      </x:c>
    </x:row>
    <x:row r="115">
      <x:c r="A115" s="27" t="str">
        <x:v>pluto|virgo</x:v>
      </x:c>
      <x:c r="B115" s="27" t="str">
        <x:v>pluto</x:v>
      </x:c>
      <x:c r="C115" s="27" t="str">
        <x:v>virgo</x:v>
      </x:c>
      <x:c r="D115" s="27" t="str">
        <x:v>power, leverage, ownership, secrecy, control, and consequences operating underneath the visible story</x:v>
      </x:c>
      <x:c r="E115" s="27" t="str">
        <x:v>works through details, schedules, repair, service, measurement, quality control, and the part that has to function in practice</x:v>
      </x:c>
      <x:c r="F115" s="27" t="str">
        <x:v>Pluto brings power, leverage, ownership, secrecy, control, and consequences operating underneath the visible story; in Virgo, it works through details, schedules, repair, service, measurement, quality control, and the part that has to function in practice.</x:v>
      </x:c>
      <x:c r="G115" s="27" t="str">
        <x:v>AUTHORED</x:v>
      </x:c>
    </x:row>
    <x:row r="116">
      <x:c r="A116" s="27" t="str">
        <x:v>pluto|libra</x:v>
      </x:c>
      <x:c r="B116" s="27" t="str">
        <x:v>pluto</x:v>
      </x:c>
      <x:c r="C116" s="27" t="str">
        <x:v>libra</x:v>
      </x:c>
      <x:c r="D116" s="27" t="str">
        <x:v>power, leverage, ownership, secrecy, control, and consequences operating underneath the visible story</x:v>
      </x:c>
      <x:c r="E116" s="27" t="str">
        <x:v>works through negotiation, fairness, shared terms, appearances, relationships, and the distribution of responsibility</x:v>
      </x:c>
      <x:c r="F116" s="27" t="str">
        <x:v>Pluto brings power, leverage, ownership, secrecy, control, and consequences operating underneath the visible story; in Libra, it works through negotiation, fairness, shared terms, appearances, relationships, and the distribution of responsibility.</x:v>
      </x:c>
      <x:c r="G116" s="27" t="str">
        <x:v>AUTHORED</x:v>
      </x:c>
    </x:row>
    <x:row r="117">
      <x:c r="A117" s="27" t="str">
        <x:v>pluto|scorpio</x:v>
      </x:c>
      <x:c r="B117" s="27" t="str">
        <x:v>pluto</x:v>
      </x:c>
      <x:c r="C117" s="27" t="str">
        <x:v>scorpio</x:v>
      </x:c>
      <x:c r="D117" s="27" t="str">
        <x:v>power, leverage, ownership, secrecy, control, and consequences operating underneath the visible story</x:v>
      </x:c>
      <x:c r="E117" s="27" t="str">
        <x:v>works through shared resources, privacy, leverage, debt, trust, access, and who controls what cannot easily be replaced</x:v>
      </x:c>
      <x:c r="F117" s="27" t="str">
        <x:v>Pluto brings power, leverage, ownership, secrecy, control, and consequences operating underneath the visible story; in Scorpio, it works through shared resources, privacy, leverage, debt, trust, access, and who controls what cannot easily be replaced.</x:v>
      </x:c>
      <x:c r="G117" s="27" t="str">
        <x:v>AUTHORED</x:v>
      </x:c>
    </x:row>
    <x:row r="118">
      <x:c r="A118" s="27" t="str">
        <x:v>pluto|sagittarius</x:v>
      </x:c>
      <x:c r="B118" s="27" t="str">
        <x:v>pluto</x:v>
      </x:c>
      <x:c r="C118" s="27" t="str">
        <x:v>sagittarius</x:v>
      </x:c>
      <x:c r="D118" s="27" t="str">
        <x:v>power, leverage, ownership, secrecy, control, and consequences operating underneath the visible story</x:v>
      </x:c>
      <x:c r="E118" s="27" t="str">
        <x:v>pushes toward a larger horizon through belief, travel, education, law, publishing, or a bigger public claim</x:v>
      </x:c>
      <x:c r="F118" s="27" t="str">
        <x:v>Pluto brings power, leverage, ownership, secrecy, control, and consequences operating underneath the visible story; in Sagittarius, it pushes toward a larger horizon through belief, travel, education, law, publishing, or a bigger public claim.</x:v>
      </x:c>
      <x:c r="G118" s="27" t="str">
        <x:v>AUTHORED</x:v>
      </x:c>
    </x:row>
    <x:row r="119">
      <x:c r="A119" s="27" t="str">
        <x:v>pluto|capricorn</x:v>
      </x:c>
      <x:c r="B119" s="27" t="str">
        <x:v>pluto</x:v>
      </x:c>
      <x:c r="C119" s="27" t="str">
        <x:v>capricorn</x:v>
      </x:c>
      <x:c r="D119" s="27" t="str">
        <x:v>power, leverage, ownership, secrecy, control, and consequences operating underneath the visible story</x:v>
      </x:c>
      <x:c r="E119" s="27" t="str">
        <x:v>works through hierarchy, deadlines, duty, career, formal authority, long-term structure, and who is responsible for delivery</x:v>
      </x:c>
      <x:c r="F119" s="27" t="str">
        <x:v>Pluto brings power, leverage, ownership, secrecy, control, and consequences operating underneath the visible story; in Capricorn, it works through hierarchy, deadlines, duty, career, formal authority, long-term structure, and who is responsible for delivery.</x:v>
      </x:c>
      <x:c r="G119" s="27" t="str">
        <x:v>AUTHORED</x:v>
      </x:c>
    </x:row>
    <x:row r="120">
      <x:c r="A120" s="27" t="str">
        <x:v>pluto|aquarius</x:v>
      </x:c>
      <x:c r="B120" s="27" t="str">
        <x:v>pluto</x:v>
      </x:c>
      <x:c r="C120" s="27" t="str">
        <x:v>aquarius</x:v>
      </x:c>
      <x:c r="D120" s="27" t="str">
        <x:v>power, leverage, ownership, secrecy, control, and consequences operating underneath the visible story</x:v>
      </x:c>
      <x:c r="E120" s="27" t="str">
        <x:v>works through groups, systems, technology, networks, access, reform, and the rules deciding who gets included</x:v>
      </x:c>
      <x:c r="F120" s="27" t="str">
        <x:v>Pluto concentrates attention on power inside groups, platforms, networks, technology, and systems of access. The hidden rule deciding who benefits becomes harder to ignore.</x:v>
      </x:c>
      <x:c r="G120" s="27" t="str">
        <x:v>AUTHORED</x:v>
      </x:c>
    </x:row>
    <x:row r="121">
      <x:c r="A121" s="27" t="str">
        <x:v>pluto|pisces</x:v>
      </x:c>
      <x:c r="B121" s="27" t="str">
        <x:v>pluto</x:v>
      </x:c>
      <x:c r="C121" s="27" t="str">
        <x:v>pisces</x:v>
      </x:c>
      <x:c r="D121" s="27" t="str">
        <x:v>power, leverage, ownership, secrecy, control, and consequences operating underneath the visible story</x:v>
      </x:c>
      <x:c r="E121" s="27" t="str">
        <x:v>works through empathy, imagination, art, collective feeling, ambiguity, porous boundaries, and situations that are hard to measure cleanly</x:v>
      </x:c>
      <x:c r="F121" s="27" t="str">
        <x:v>Pluto brings power, leverage, ownership, secrecy, control, and consequences operating underneath the visible story; in Pisces, it works through empathy, imagination, art, collective feeling, ambiguity, porous boundaries, and situations that are hard to measure cleanly.</x:v>
      </x:c>
      <x:c r="G121" s="27" t="str">
        <x:v>AUTHORED</x:v>
      </x:c>
    </x:row>
    <x:row r="122">
      <x:c r="A122" s="27" t="str">
        <x:v>lilith|aries</x:v>
      </x:c>
      <x:c r="B122" s="27" t="str">
        <x:v>lilith</x:v>
      </x:c>
      <x:c r="C122" s="27" t="str">
        <x:v>aries</x:v>
      </x:c>
      <x:c r="D122" s="27" t="str">
        <x:v>refusal, taboo, noncompliance, and the boundary someone or a group will not soften to make the system comfortable</x:v>
      </x:c>
      <x:c r="E122" s="27" t="str">
        <x:v>moves directly, acts first, and treats delay or excessive consultation as part of the problem</x:v>
      </x:c>
      <x:c r="F122" s="27" t="str">
        <x:v>Lilith brings refusal, taboo, noncompliance, and the boundary someone or a group will not soften to make the system comfortable; in Aries, it moves directly, acts first, and treats delay or excessive consultation as part of the problem.</x:v>
      </x:c>
      <x:c r="G122" s="27" t="str">
        <x:v>AUTHORED</x:v>
      </x:c>
    </x:row>
    <x:row r="123">
      <x:c r="A123" s="27" t="str">
        <x:v>lilith|taurus</x:v>
      </x:c>
      <x:c r="B123" s="27" t="str">
        <x:v>lilith</x:v>
      </x:c>
      <x:c r="C123" s="27" t="str">
        <x:v>taurus</x:v>
      </x:c>
      <x:c r="D123" s="27" t="str">
        <x:v>refusal, taboo, noncompliance, and the boundary someone or a group will not soften to make the system comfortable</x:v>
      </x:c>
      <x:c r="E123" s="27" t="str">
        <x:v>protects money, material stability, ownership, continuity, and what people can physically rely on</x:v>
      </x:c>
      <x:c r="F123" s="27" t="str">
        <x:v>Lilith brings refusal, taboo, noncompliance, and the boundary someone or a group will not soften to make the system comfortable; in Taurus, it protects money, material stability, ownership, continuity, and what people can physically rely on.</x:v>
      </x:c>
      <x:c r="G123" s="27" t="str">
        <x:v>AUTHORED</x:v>
      </x:c>
    </x:row>
    <x:row r="124">
      <x:c r="A124" s="27" t="str">
        <x:v>lilith|gemini</x:v>
      </x:c>
      <x:c r="B124" s="27" t="str">
        <x:v>lilith</x:v>
      </x:c>
      <x:c r="C124" s="27" t="str">
        <x:v>gemini</x:v>
      </x:c>
      <x:c r="D124" s="27" t="str">
        <x:v>refusal, taboo, noncompliance, and the boundary someone or a group will not soften to make the system comfortable</x:v>
      </x:c>
      <x:c r="E124" s="27" t="str">
        <x:v>moves through information, multiple options, comparison, conversation, and fast-changing input</x:v>
      </x:c>
      <x:c r="F124" s="27" t="str">
        <x:v>Lilith brings refusal, taboo, noncompliance, and the boundary someone or a group will not soften to make the system comfortable; in Gemini, it moves through information, multiple options, comparison, conversation, and fast-changing input.</x:v>
      </x:c>
      <x:c r="G124" s="27" t="str">
        <x:v>AUTHORED</x:v>
      </x:c>
    </x:row>
    <x:row r="125">
      <x:c r="A125" s="27" t="str">
        <x:v>lilith|cancer</x:v>
      </x:c>
      <x:c r="B125" s="27" t="str">
        <x:v>lilith</x:v>
      </x:c>
      <x:c r="C125" s="27" t="str">
        <x:v>cancer</x:v>
      </x:c>
      <x:c r="D125" s="27" t="str">
        <x:v>refusal, taboo, noncompliance, and the boundary someone or a group will not soften to make the system comfortable</x:v>
      </x:c>
      <x:c r="E125" s="27" t="str">
        <x:v>prioritizes care, home, family, belonging, protection, and the people most affected by the decision</x:v>
      </x:c>
      <x:c r="F125" s="27" t="str">
        <x:v>Lilith brings refusal, taboo, noncompliance, and the boundary someone or a group will not soften to make the system comfortable; in Cancer, it prioritizes care, home, family, belonging, protection, and the people most affected by the decision.</x:v>
      </x:c>
      <x:c r="G125" s="27" t="str">
        <x:v>AUTHORED</x:v>
      </x:c>
    </x:row>
    <x:row r="126">
      <x:c r="A126" s="27" t="str">
        <x:v>lilith|leo</x:v>
      </x:c>
      <x:c r="B126" s="27" t="str">
        <x:v>lilith</x:v>
      </x:c>
      <x:c r="C126" s="27" t="str">
        <x:v>leo</x:v>
      </x:c>
      <x:c r="D126" s="27" t="str">
        <x:v>refusal, taboo, noncompliance, and the boundary someone or a group will not soften to make the system comfortable</x:v>
      </x:c>
      <x:c r="E126" s="27" t="str">
        <x:v>makes the issue visible, personal, creative, or tied to recognition, leadership, and who receives credit</x:v>
      </x:c>
      <x:c r="F126" s="27" t="str">
        <x:v>Lilith brings refusal, taboo, noncompliance, and the boundary someone or a group will not soften to make the system comfortable; in Leo, it makes the issue visible, personal, creative, or tied to recognition, leadership, and who receives credit.</x:v>
      </x:c>
      <x:c r="G126" s="27" t="str">
        <x:v>AUTHORED</x:v>
      </x:c>
    </x:row>
    <x:row r="127">
      <x:c r="A127" s="27" t="str">
        <x:v>lilith|virgo</x:v>
      </x:c>
      <x:c r="B127" s="27" t="str">
        <x:v>lilith</x:v>
      </x:c>
      <x:c r="C127" s="27" t="str">
        <x:v>virgo</x:v>
      </x:c>
      <x:c r="D127" s="27" t="str">
        <x:v>refusal, taboo, noncompliance, and the boundary someone or a group will not soften to make the system comfortable</x:v>
      </x:c>
      <x:c r="E127" s="27" t="str">
        <x:v>works through details, schedules, repair, service, measurement, quality control, and the part that has to function in practice</x:v>
      </x:c>
      <x:c r="F127" s="27" t="str">
        <x:v>Lilith brings refusal, taboo, noncompliance, and the boundary someone or a group will not soften to make the system comfortable; in Virgo, it works through details, schedules, repair, service, measurement, quality control, and the part that has to function in practice.</x:v>
      </x:c>
      <x:c r="G127" s="27" t="str">
        <x:v>AUTHORED</x:v>
      </x:c>
    </x:row>
    <x:row r="128">
      <x:c r="A128" s="27" t="str">
        <x:v>lilith|libra</x:v>
      </x:c>
      <x:c r="B128" s="27" t="str">
        <x:v>lilith</x:v>
      </x:c>
      <x:c r="C128" s="27" t="str">
        <x:v>libra</x:v>
      </x:c>
      <x:c r="D128" s="27" t="str">
        <x:v>refusal, taboo, noncompliance, and the boundary someone or a group will not soften to make the system comfortable</x:v>
      </x:c>
      <x:c r="E128" s="27" t="str">
        <x:v>works through negotiation, fairness, shared terms, appearances, relationships, and the distribution of responsibility</x:v>
      </x:c>
      <x:c r="F128" s="27" t="str">
        <x:v>Lilith brings refusal, taboo, noncompliance, and the boundary someone or a group will not soften to make the system comfortable; in Libra, it works through negotiation, fairness, shared terms, appearances, relationships, and the distribution of responsibility.</x:v>
      </x:c>
      <x:c r="G128" s="27" t="str">
        <x:v>AUTHORED</x:v>
      </x:c>
    </x:row>
    <x:row r="129">
      <x:c r="A129" s="27" t="str">
        <x:v>lilith|scorpio</x:v>
      </x:c>
      <x:c r="B129" s="27" t="str">
        <x:v>lilith</x:v>
      </x:c>
      <x:c r="C129" s="27" t="str">
        <x:v>scorpio</x:v>
      </x:c>
      <x:c r="D129" s="27" t="str">
        <x:v>refusal, taboo, noncompliance, and the boundary someone or a group will not soften to make the system comfortable</x:v>
      </x:c>
      <x:c r="E129" s="27" t="str">
        <x:v>works through shared resources, privacy, leverage, debt, trust, access, and who controls what cannot easily be replaced</x:v>
      </x:c>
      <x:c r="F129" s="27" t="str">
        <x:v>Lilith brings refusal, taboo, noncompliance, and the boundary someone or a group will not soften to make the system comfortable; in Scorpio, it works through shared resources, privacy, leverage, debt, trust, access, and who controls what cannot easily be replaced.</x:v>
      </x:c>
      <x:c r="G129" s="27" t="str">
        <x:v>AUTHORED</x:v>
      </x:c>
    </x:row>
    <x:row r="130">
      <x:c r="A130" s="27" t="str">
        <x:v>lilith|sagittarius</x:v>
      </x:c>
      <x:c r="B130" s="27" t="str">
        <x:v>lilith</x:v>
      </x:c>
      <x:c r="C130" s="27" t="str">
        <x:v>sagittarius</x:v>
      </x:c>
      <x:c r="D130" s="27" t="str">
        <x:v>refusal, taboo, noncompliance, and the boundary someone or a group will not soften to make the system comfortable</x:v>
      </x:c>
      <x:c r="E130" s="27" t="str">
        <x:v>pushes toward a larger horizon through belief, travel, education, law, publishing, or a bigger public claim</x:v>
      </x:c>
      <x:c r="F130" s="27" t="str">
        <x:v>Lilith brings refusal, taboo, noncompliance, and the boundary someone or a group will not soften to make the system comfortable; in Sagittarius, it pushes toward a larger horizon through belief, travel, education, law, publishing, or a bigger public claim.</x:v>
      </x:c>
      <x:c r="G130" s="27" t="str">
        <x:v>AUTHORED</x:v>
      </x:c>
    </x:row>
    <x:row r="131">
      <x:c r="A131" s="27" t="str">
        <x:v>lilith|capricorn</x:v>
      </x:c>
      <x:c r="B131" s="27" t="str">
        <x:v>lilith</x:v>
      </x:c>
      <x:c r="C131" s="27" t="str">
        <x:v>capricorn</x:v>
      </x:c>
      <x:c r="D131" s="27" t="str">
        <x:v>refusal, taboo, noncompliance, and the boundary someone or a group will not soften to make the system comfortable</x:v>
      </x:c>
      <x:c r="E131" s="27" t="str">
        <x:v>works through hierarchy, deadlines, duty, career, formal authority, long-term structure, and who is responsible for delivery</x:v>
      </x:c>
      <x:c r="F131" s="27" t="str">
        <x:v>Lilith brings refusal, taboo, noncompliance, and the boundary someone or a group will not soften to make the system comfortable; in Capricorn, it works through hierarchy, deadlines, duty, career, formal authority, long-term structure, and who is responsible for delivery.</x:v>
      </x:c>
      <x:c r="G131" s="27" t="str">
        <x:v>AUTHORED</x:v>
      </x:c>
    </x:row>
    <x:row r="132">
      <x:c r="A132" s="27" t="str">
        <x:v>lilith|aquarius</x:v>
      </x:c>
      <x:c r="B132" s="27" t="str">
        <x:v>lilith</x:v>
      </x:c>
      <x:c r="C132" s="27" t="str">
        <x:v>aquarius</x:v>
      </x:c>
      <x:c r="D132" s="27" t="str">
        <x:v>refusal, taboo, noncompliance, and the boundary someone or a group will not soften to make the system comfortable</x:v>
      </x:c>
      <x:c r="E132" s="27" t="str">
        <x:v>works through groups, systems, technology, networks, access, reform, and the rules deciding who gets included</x:v>
      </x:c>
      <x:c r="F132" s="27" t="str">
        <x:v>Lilith brings refusal, taboo, noncompliance, and the boundary someone or a group will not soften to make the system comfortable; in Aquarius, it works through groups, systems, technology, networks, access, reform, and the rules deciding who gets included.</x:v>
      </x:c>
      <x:c r="G132" s="27" t="str">
        <x:v>AUTHORED</x:v>
      </x:c>
    </x:row>
    <x:row r="133">
      <x:c r="A133" s="27" t="str">
        <x:v>lilith|pisces</x:v>
      </x:c>
      <x:c r="B133" s="27" t="str">
        <x:v>lilith</x:v>
      </x:c>
      <x:c r="C133" s="27" t="str">
        <x:v>pisces</x:v>
      </x:c>
      <x:c r="D133" s="27" t="str">
        <x:v>refusal, taboo, noncompliance, and the boundary someone or a group will not soften to make the system comfortable</x:v>
      </x:c>
      <x:c r="E133" s="27" t="str">
        <x:v>works through empathy, imagination, art, collective feeling, ambiguity, porous boundaries, and situations that are hard to measure cleanly</x:v>
      </x:c>
      <x:c r="F133" s="27" t="str">
        <x:v>Lilith brings refusal, taboo, noncompliance, and the boundary someone or a group will not soften to make the system comfortable; in Pisces, it works through empathy, imagination, art, collective feeling, ambiguity, porous boundaries, and situations that are hard to measure cleanly.</x:v>
      </x:c>
      <x:c r="G133" s="27" t="str">
        <x:v>AUTHORED</x:v>
      </x:c>
    </x:row>
    <x:row r="134">
      <x:c r="A134" s="27"/>
      <x:c r="B134" s="27"/>
      <x:c r="C134" s="27"/>
      <x:c r="D134" s="27"/>
      <x:c r="E134" s="27"/>
      <x:c r="F134" s="27"/>
      <x:c r="G134" s="27"/>
    </x:row>
    <x:row r="135">
      <x:c r="A135" s="27"/>
      <x:c r="B135" s="27"/>
      <x:c r="C135" s="27"/>
      <x:c r="D135" s="27"/>
      <x:c r="E135" s="27"/>
      <x:c r="F135" s="27"/>
      <x:c r="G135" s="27"/>
    </x:row>
    <x:row r="136">
      <x:c r="A136" s="27"/>
      <x:c r="B136" s="27"/>
      <x:c r="C136" s="27"/>
      <x:c r="D136" s="27"/>
      <x:c r="E136" s="27"/>
      <x:c r="F136" s="27"/>
      <x:c r="G136" s="27"/>
    </x:row>
    <x:row r="137">
      <x:c r="A137" s="27"/>
      <x:c r="B137" s="27"/>
      <x:c r="C137" s="27"/>
      <x:c r="D137" s="27"/>
      <x:c r="E137" s="27"/>
      <x:c r="F137" s="27"/>
      <x:c r="G137" s="27"/>
    </x:row>
    <x:row r="138">
      <x:c r="A138" s="27"/>
      <x:c r="B138" s="27"/>
      <x:c r="C138" s="27"/>
      <x:c r="D138" s="27"/>
      <x:c r="E138" s="27"/>
      <x:c r="F138" s="27"/>
      <x:c r="G138" s="27"/>
    </x:row>
    <x:row r="139">
      <x:c r="A139" s="27"/>
      <x:c r="B139" s="27"/>
      <x:c r="C139" s="27"/>
      <x:c r="D139" s="27"/>
      <x:c r="E139" s="27"/>
      <x:c r="F139" s="27"/>
      <x:c r="G139" s="27"/>
    </x:row>
    <x:row r="140">
      <x:c r="A140" s="27"/>
      <x:c r="B140" s="27"/>
      <x:c r="C140" s="27"/>
      <x:c r="D140" s="27"/>
      <x:c r="E140" s="27"/>
      <x:c r="F140" s="27"/>
      <x:c r="G140" s="27"/>
    </x:row>
    <x:row r="141">
      <x:c r="A141" s="27"/>
      <x:c r="B141" s="27"/>
      <x:c r="C141" s="27"/>
      <x:c r="D141" s="27"/>
      <x:c r="E141" s="27"/>
      <x:c r="F141" s="27"/>
      <x:c r="G141" s="27"/>
    </x:row>
    <x:row r="142">
      <x:c r="A142" s="27"/>
      <x:c r="B142" s="27"/>
      <x:c r="C142" s="27"/>
      <x:c r="D142" s="27"/>
      <x:c r="E142" s="27"/>
      <x:c r="F142" s="27"/>
      <x:c r="G142" s="27"/>
    </x:row>
    <x:row r="143">
      <x:c r="A143" s="27"/>
      <x:c r="B143" s="27"/>
      <x:c r="C143" s="27"/>
      <x:c r="D143" s="27"/>
      <x:c r="E143" s="27"/>
      <x:c r="F143" s="27"/>
      <x:c r="G143" s="27"/>
    </x:row>
    <x:row r="144">
      <x:c r="A144" s="27"/>
      <x:c r="B144" s="27"/>
      <x:c r="C144" s="27"/>
      <x:c r="D144" s="27"/>
      <x:c r="E144" s="27"/>
      <x:c r="F144" s="27"/>
      <x:c r="G144" s="27"/>
    </x:row>
    <x:row r="145">
      <x:c r="A145" s="27"/>
      <x:c r="B145" s="27"/>
      <x:c r="C145" s="27"/>
      <x:c r="D145" s="27"/>
      <x:c r="E145" s="27"/>
      <x:c r="F145" s="27"/>
      <x:c r="G145" s="27"/>
    </x:row>
    <x:row r="146">
      <x:c r="A146" s="27"/>
      <x:c r="B146" s="27"/>
      <x:c r="C146" s="27"/>
      <x:c r="D146" s="27"/>
      <x:c r="E146" s="27"/>
      <x:c r="F146" s="27"/>
      <x:c r="G146" s="27"/>
    </x:row>
    <x:row r="147">
      <x:c r="A147" s="27"/>
      <x:c r="B147" s="27"/>
      <x:c r="C147" s="27"/>
      <x:c r="D147" s="27"/>
      <x:c r="E147" s="27"/>
      <x:c r="F147" s="27"/>
      <x:c r="G147" s="27"/>
    </x:row>
    <x:row r="148">
      <x:c r="A148" s="27"/>
      <x:c r="B148" s="27"/>
      <x:c r="C148" s="27"/>
      <x:c r="D148" s="27"/>
      <x:c r="E148" s="27"/>
      <x:c r="F148" s="27"/>
      <x:c r="G148" s="27"/>
    </x:row>
    <x:row r="149">
      <x:c r="A149" s="27"/>
      <x:c r="B149" s="27"/>
      <x:c r="C149" s="27"/>
      <x:c r="D149" s="27"/>
      <x:c r="E149" s="27"/>
      <x:c r="F149" s="27"/>
      <x:c r="G149" s="27"/>
    </x:row>
    <x:row r="150">
      <x:c r="A150" s="27"/>
      <x:c r="B150" s="27"/>
      <x:c r="C150" s="27"/>
      <x:c r="D150" s="27"/>
      <x:c r="E150" s="27"/>
      <x:c r="F150" s="27"/>
      <x:c r="G150" s="27"/>
    </x:row>
    <x:row r="151">
      <x:c r="A151" s="27"/>
      <x:c r="B151" s="27"/>
      <x:c r="C151" s="27"/>
      <x:c r="D151" s="27"/>
      <x:c r="E151" s="27"/>
      <x:c r="F151" s="27"/>
      <x:c r="G151" s="27"/>
    </x:row>
    <x:row r="152">
      <x:c r="A152" s="27"/>
      <x:c r="B152" s="27"/>
      <x:c r="C152" s="27"/>
      <x:c r="D152" s="27"/>
      <x:c r="E152" s="27"/>
      <x:c r="F152" s="27"/>
      <x:c r="G152" s="27"/>
    </x:row>
    <x:row r="153">
      <x:c r="A153" s="27"/>
      <x:c r="B153" s="27"/>
      <x:c r="C153" s="27"/>
      <x:c r="D153" s="27"/>
      <x:c r="E153" s="27"/>
      <x:c r="F153" s="27"/>
      <x:c r="G153" s="27"/>
    </x:row>
    <x:row r="154">
      <x:c r="A154" s="27"/>
      <x:c r="B154" s="27"/>
      <x:c r="C154" s="27"/>
      <x:c r="D154" s="27"/>
      <x:c r="E154" s="27"/>
      <x:c r="F154" s="27"/>
      <x:c r="G154" s="27"/>
    </x:row>
    <x:row r="155">
      <x:c r="A155" s="27"/>
      <x:c r="B155" s="27"/>
      <x:c r="C155" s="27"/>
      <x:c r="D155" s="27"/>
      <x:c r="E155" s="27"/>
      <x:c r="F155" s="27"/>
      <x:c r="G155" s="27"/>
    </x:row>
    <x:row r="156">
      <x:c r="A156" s="27"/>
      <x:c r="B156" s="27"/>
      <x:c r="C156" s="27"/>
      <x:c r="D156" s="27"/>
      <x:c r="E156" s="27"/>
      <x:c r="F156" s="27"/>
      <x:c r="G156" s="27"/>
    </x:row>
    <x:row r="157">
      <x:c r="A157" s="27"/>
      <x:c r="B157" s="27"/>
      <x:c r="C157" s="27"/>
      <x:c r="D157" s="27"/>
      <x:c r="E157" s="27"/>
      <x:c r="F157" s="27"/>
      <x:c r="G157" s="27"/>
    </x:row>
    <x:row r="158">
      <x:c r="A158" s="27"/>
      <x:c r="B158" s="27"/>
      <x:c r="C158" s="27"/>
      <x:c r="D158" s="27"/>
      <x:c r="E158" s="27"/>
      <x:c r="F158" s="27"/>
      <x:c r="G158" s="27"/>
    </x:row>
    <x:row r="159">
      <x:c r="A159" s="27"/>
      <x:c r="B159" s="27"/>
      <x:c r="C159" s="27"/>
      <x:c r="D159" s="27"/>
      <x:c r="E159" s="27"/>
      <x:c r="F159" s="27"/>
      <x:c r="G159" s="27"/>
    </x:row>
    <x:row r="160">
      <x:c r="A160" s="27"/>
      <x:c r="B160" s="27"/>
      <x:c r="C160" s="27"/>
      <x:c r="D160" s="27"/>
      <x:c r="E160" s="27"/>
      <x:c r="F160" s="27"/>
      <x:c r="G160" s="27"/>
    </x:row>
    <x:row r="161">
      <x:c r="A161" s="27"/>
      <x:c r="B161" s="27"/>
      <x:c r="C161" s="27"/>
      <x:c r="D161" s="27"/>
      <x:c r="E161" s="27"/>
      <x:c r="F161" s="27"/>
      <x:c r="G161" s="27"/>
    </x:row>
    <x:row r="162">
      <x:c r="A162" s="27"/>
      <x:c r="B162" s="27"/>
      <x:c r="C162" s="27"/>
      <x:c r="D162" s="27"/>
      <x:c r="E162" s="27"/>
      <x:c r="F162" s="27"/>
      <x:c r="G162" s="27"/>
    </x:row>
    <x:row r="163">
      <x:c r="A163" s="27"/>
      <x:c r="B163" s="27"/>
      <x:c r="C163" s="27"/>
      <x:c r="D163" s="27"/>
      <x:c r="E163" s="27"/>
      <x:c r="F163" s="27"/>
      <x:c r="G163" s="27"/>
    </x:row>
    <x:row r="164">
      <x:c r="A164" s="27"/>
      <x:c r="B164" s="27"/>
      <x:c r="C164" s="27"/>
      <x:c r="D164" s="27"/>
      <x:c r="E164" s="27"/>
      <x:c r="F164" s="27"/>
      <x:c r="G164" s="27"/>
    </x:row>
    <x:row r="165">
      <x:c r="A165" s="27"/>
      <x:c r="B165" s="27"/>
      <x:c r="C165" s="27"/>
      <x:c r="D165" s="27"/>
      <x:c r="E165" s="27"/>
      <x:c r="F165" s="27"/>
      <x:c r="G165" s="27"/>
    </x:row>
    <x:row r="166">
      <x:c r="A166" s="27"/>
      <x:c r="B166" s="27"/>
      <x:c r="C166" s="27"/>
      <x:c r="D166" s="27"/>
      <x:c r="E166" s="27"/>
      <x:c r="F166" s="27"/>
      <x:c r="G166" s="27"/>
    </x:row>
    <x:row r="167">
      <x:c r="A167" s="27"/>
      <x:c r="B167" s="27"/>
      <x:c r="C167" s="27"/>
      <x:c r="D167" s="27"/>
      <x:c r="E167" s="27"/>
      <x:c r="F167" s="27"/>
      <x:c r="G167" s="27"/>
    </x:row>
    <x:row r="168">
      <x:c r="A168" s="27"/>
      <x:c r="B168" s="27"/>
      <x:c r="C168" s="27"/>
      <x:c r="D168" s="27"/>
      <x:c r="E168" s="27"/>
      <x:c r="F168" s="27"/>
      <x:c r="G168" s="27"/>
    </x:row>
    <x:row r="169">
      <x:c r="A169" s="27"/>
      <x:c r="B169" s="27"/>
      <x:c r="C169" s="27"/>
      <x:c r="D169" s="27"/>
      <x:c r="E169" s="27"/>
      <x:c r="F169" s="27"/>
      <x:c r="G169" s="27"/>
    </x:row>
    <x:row r="170">
      <x:c r="A170" s="27"/>
      <x:c r="B170" s="27"/>
      <x:c r="C170" s="27"/>
      <x:c r="D170" s="27"/>
      <x:c r="E170" s="27"/>
      <x:c r="F170" s="27"/>
      <x:c r="G170" s="27"/>
    </x:row>
    <x:row r="171">
      <x:c r="A171" s="27"/>
      <x:c r="B171" s="27"/>
      <x:c r="C171" s="27"/>
      <x:c r="D171" s="27"/>
      <x:c r="E171" s="27"/>
      <x:c r="F171" s="27"/>
      <x:c r="G171" s="27"/>
    </x:row>
    <x:row r="172">
      <x:c r="A172" s="27"/>
      <x:c r="B172" s="27"/>
      <x:c r="C172" s="27"/>
      <x:c r="D172" s="27"/>
      <x:c r="E172" s="27"/>
      <x:c r="F172" s="27"/>
      <x:c r="G172" s="27"/>
    </x:row>
    <x:row r="173">
      <x:c r="A173" s="27"/>
      <x:c r="B173" s="27"/>
      <x:c r="C173" s="27"/>
      <x:c r="D173" s="27"/>
      <x:c r="E173" s="27"/>
      <x:c r="F173" s="27"/>
      <x:c r="G173" s="27"/>
    </x:row>
    <x:row r="174">
      <x:c r="A174" s="27"/>
      <x:c r="B174" s="27"/>
      <x:c r="C174" s="27"/>
      <x:c r="D174" s="27"/>
      <x:c r="E174" s="27"/>
      <x:c r="F174" s="27"/>
      <x:c r="G174" s="27"/>
    </x:row>
    <x:row r="175">
      <x:c r="A175" s="27"/>
      <x:c r="B175" s="27"/>
      <x:c r="C175" s="27"/>
      <x:c r="D175" s="27"/>
      <x:c r="E175" s="27"/>
      <x:c r="F175" s="27"/>
      <x:c r="G175" s="27"/>
    </x:row>
    <x:row r="176">
      <x:c r="A176" s="27"/>
      <x:c r="B176" s="27"/>
      <x:c r="C176" s="27"/>
      <x:c r="D176" s="27"/>
      <x:c r="E176" s="27"/>
      <x:c r="F176" s="27"/>
      <x:c r="G176" s="27"/>
    </x:row>
    <x:row r="177">
      <x:c r="A177" s="27"/>
      <x:c r="B177" s="27"/>
      <x:c r="C177" s="27"/>
      <x:c r="D177" s="27"/>
      <x:c r="E177" s="27"/>
      <x:c r="F177" s="27"/>
      <x:c r="G177" s="27"/>
    </x:row>
    <x:row r="178">
      <x:c r="A178" s="27"/>
      <x:c r="B178" s="27"/>
      <x:c r="C178" s="27"/>
      <x:c r="D178" s="27"/>
      <x:c r="E178" s="27"/>
      <x:c r="F178" s="27"/>
      <x:c r="G178" s="27"/>
    </x:row>
    <x:row r="179">
      <x:c r="A179" s="27"/>
      <x:c r="B179" s="27"/>
      <x:c r="C179" s="27"/>
      <x:c r="D179" s="27"/>
      <x:c r="E179" s="27"/>
      <x:c r="F179" s="27"/>
      <x:c r="G179" s="27"/>
    </x:row>
    <x:row r="180">
      <x:c r="A180" s="27"/>
      <x:c r="B180" s="27"/>
      <x:c r="C180" s="27"/>
      <x:c r="D180" s="27"/>
      <x:c r="E180" s="27"/>
      <x:c r="F180" s="27"/>
      <x:c r="G180" s="27"/>
    </x:row>
    <x:row r="181">
      <x:c r="A181" s="27"/>
      <x:c r="B181" s="27"/>
      <x:c r="C181" s="27"/>
      <x:c r="D181" s="27"/>
      <x:c r="E181" s="27"/>
      <x:c r="F181" s="27"/>
      <x:c r="G181" s="27"/>
    </x:row>
    <x:row r="182">
      <x:c r="A182" s="27"/>
      <x:c r="B182" s="27"/>
      <x:c r="C182" s="27"/>
      <x:c r="D182" s="27"/>
      <x:c r="E182" s="27"/>
      <x:c r="F182" s="27"/>
      <x:c r="G182" s="27"/>
    </x:row>
    <x:row r="183">
      <x:c r="A183" s="27"/>
      <x:c r="B183" s="27"/>
      <x:c r="C183" s="27"/>
      <x:c r="D183" s="27"/>
      <x:c r="E183" s="27"/>
      <x:c r="F183" s="27"/>
      <x:c r="G183" s="27"/>
    </x:row>
    <x:row r="184">
      <x:c r="A184" s="27"/>
      <x:c r="B184" s="27"/>
      <x:c r="C184" s="27"/>
      <x:c r="D184" s="27"/>
      <x:c r="E184" s="27"/>
      <x:c r="F184" s="27"/>
      <x:c r="G184" s="27"/>
    </x:row>
    <x:row r="185">
      <x:c r="A185" s="27"/>
      <x:c r="B185" s="27"/>
      <x:c r="C185" s="27"/>
      <x:c r="D185" s="27"/>
      <x:c r="E185" s="27"/>
      <x:c r="F185" s="27"/>
      <x:c r="G185" s="27"/>
    </x:row>
    <x:row r="186">
      <x:c r="A186" s="27"/>
      <x:c r="B186" s="27"/>
      <x:c r="C186" s="27"/>
      <x:c r="D186" s="27"/>
      <x:c r="E186" s="27"/>
      <x:c r="F186" s="27"/>
      <x:c r="G186" s="27"/>
    </x:row>
    <x:row r="187">
      <x:c r="A187" s="27"/>
      <x:c r="B187" s="27"/>
      <x:c r="C187" s="27"/>
      <x:c r="D187" s="27"/>
      <x:c r="E187" s="27"/>
      <x:c r="F187" s="27"/>
      <x:c r="G187" s="27"/>
    </x:row>
    <x:row r="188">
      <x:c r="A188" s="27"/>
      <x:c r="B188" s="27"/>
      <x:c r="C188" s="27"/>
      <x:c r="D188" s="27"/>
      <x:c r="E188" s="27"/>
      <x:c r="F188" s="27"/>
      <x:c r="G188" s="27"/>
    </x:row>
    <x:row r="189">
      <x:c r="A189" s="27"/>
      <x:c r="B189" s="27"/>
      <x:c r="C189" s="27"/>
      <x:c r="D189" s="27"/>
      <x:c r="E189" s="27"/>
      <x:c r="F189" s="27"/>
      <x:c r="G189" s="27"/>
    </x:row>
    <x:row r="190">
      <x:c r="A190" s="27"/>
      <x:c r="B190" s="27"/>
      <x:c r="C190" s="27"/>
      <x:c r="D190" s="27"/>
      <x:c r="E190" s="27"/>
      <x:c r="F190" s="27"/>
      <x:c r="G190" s="27"/>
    </x:row>
    <x:row r="191">
      <x:c r="A191" s="27"/>
      <x:c r="B191" s="27"/>
      <x:c r="C191" s="27"/>
      <x:c r="D191" s="27"/>
      <x:c r="E191" s="27"/>
      <x:c r="F191" s="27"/>
      <x:c r="G191" s="27"/>
    </x:row>
    <x:row r="192">
      <x:c r="A192" s="27"/>
      <x:c r="B192" s="27"/>
      <x:c r="C192" s="27"/>
      <x:c r="D192" s="27"/>
      <x:c r="E192" s="27"/>
      <x:c r="F192" s="27"/>
      <x:c r="G192" s="27"/>
    </x:row>
    <x:row r="193">
      <x:c r="A193" s="27"/>
      <x:c r="B193" s="27"/>
      <x:c r="C193" s="27"/>
      <x:c r="D193" s="27"/>
      <x:c r="E193" s="27"/>
      <x:c r="F193" s="27"/>
      <x:c r="G193" s="27"/>
    </x:row>
    <x:row r="194">
      <x:c r="A194" s="27"/>
      <x:c r="B194" s="27"/>
      <x:c r="C194" s="27"/>
      <x:c r="D194" s="27"/>
      <x:c r="E194" s="27"/>
      <x:c r="F194" s="27"/>
      <x:c r="G194" s="27"/>
    </x:row>
    <x:row r="195">
      <x:c r="A195" s="27"/>
      <x:c r="B195" s="27"/>
      <x:c r="C195" s="27"/>
      <x:c r="D195" s="27"/>
      <x:c r="E195" s="27"/>
      <x:c r="F195" s="27"/>
      <x:c r="G195" s="27"/>
    </x:row>
    <x:row r="196">
      <x:c r="A196" s="27"/>
      <x:c r="B196" s="27"/>
      <x:c r="C196" s="27"/>
      <x:c r="D196" s="27"/>
      <x:c r="E196" s="27"/>
      <x:c r="F196" s="27"/>
      <x:c r="G196" s="27"/>
    </x:row>
    <x:row r="197">
      <x:c r="A197" s="27"/>
      <x:c r="B197" s="27"/>
      <x:c r="C197" s="27"/>
      <x:c r="D197" s="27"/>
      <x:c r="E197" s="27"/>
      <x:c r="F197" s="27"/>
      <x:c r="G197" s="27"/>
    </x:row>
    <x:row r="198">
      <x:c r="A198" s="27"/>
      <x:c r="B198" s="27"/>
      <x:c r="C198" s="27"/>
      <x:c r="D198" s="27"/>
      <x:c r="E198" s="27"/>
      <x:c r="F198" s="27"/>
      <x:c r="G198" s="27"/>
    </x:row>
    <x:row r="199">
      <x:c r="A199" s="27"/>
      <x:c r="B199" s="27"/>
      <x:c r="C199" s="27"/>
      <x:c r="D199" s="27"/>
      <x:c r="E199" s="27"/>
      <x:c r="F199" s="27"/>
      <x:c r="G199" s="27"/>
    </x:row>
    <x:row r="200">
      <x:c r="A200" s="27"/>
      <x:c r="B200" s="27"/>
      <x:c r="C200" s="27"/>
      <x:c r="D200" s="27"/>
      <x:c r="E200" s="27"/>
      <x:c r="F200" s="27"/>
      <x:c r="G200" s="27"/>
    </x:row>
    <x:row r="201">
      <x:c r="A201" s="27"/>
      <x:c r="B201" s="27"/>
      <x:c r="C201" s="27"/>
      <x:c r="D201" s="27"/>
      <x:c r="E201" s="27"/>
      <x:c r="F201" s="27"/>
      <x:c r="G201" s="27"/>
    </x:row>
    <x:row r="202">
      <x:c r="A202" s="27"/>
      <x:c r="B202" s="27"/>
      <x:c r="C202" s="27"/>
      <x:c r="D202" s="27"/>
      <x:c r="E202" s="27"/>
      <x:c r="F202" s="27"/>
      <x:c r="G202" s="27"/>
    </x:row>
    <x:row r="203">
      <x:c r="A203" s="27"/>
      <x:c r="B203" s="27"/>
      <x:c r="C203" s="27"/>
      <x:c r="D203" s="27"/>
      <x:c r="E203" s="27"/>
      <x:c r="F203" s="27"/>
      <x:c r="G203" s="27"/>
    </x:row>
    <x:row r="204">
      <x:c r="A204" s="27"/>
      <x:c r="B204" s="27"/>
      <x:c r="C204" s="27"/>
      <x:c r="D204" s="27"/>
      <x:c r="E204" s="27"/>
      <x:c r="F204" s="27"/>
      <x:c r="G204" s="27"/>
    </x:row>
    <x:row r="205">
      <x:c r="A205" s="27"/>
      <x:c r="B205" s="27"/>
      <x:c r="C205" s="27"/>
      <x:c r="D205" s="27"/>
      <x:c r="E205" s="27"/>
      <x:c r="F205" s="27"/>
      <x:c r="G205" s="27"/>
    </x:row>
    <x:row r="206">
      <x:c r="A206" s="27"/>
      <x:c r="B206" s="27"/>
      <x:c r="C206" s="27"/>
      <x:c r="D206" s="27"/>
      <x:c r="E206" s="27"/>
      <x:c r="F206" s="27"/>
      <x:c r="G206" s="27"/>
    </x:row>
    <x:row r="207">
      <x:c r="A207" s="27"/>
      <x:c r="B207" s="27"/>
      <x:c r="C207" s="27"/>
      <x:c r="D207" s="27"/>
      <x:c r="E207" s="27"/>
      <x:c r="F207" s="27"/>
      <x:c r="G207" s="27"/>
    </x:row>
    <x:row r="208">
      <x:c r="A208" s="27"/>
      <x:c r="B208" s="27"/>
      <x:c r="C208" s="27"/>
      <x:c r="D208" s="27"/>
      <x:c r="E208" s="27"/>
      <x:c r="F208" s="27"/>
      <x:c r="G208" s="27"/>
    </x:row>
    <x:row r="209">
      <x:c r="A209" s="27"/>
      <x:c r="B209" s="27"/>
      <x:c r="C209" s="27"/>
      <x:c r="D209" s="27"/>
      <x:c r="E209" s="27"/>
      <x:c r="F209" s="27"/>
      <x:c r="G209" s="27"/>
    </x:row>
    <x:row r="210">
      <x:c r="A210" s="27"/>
      <x:c r="B210" s="27"/>
      <x:c r="C210" s="27"/>
      <x:c r="D210" s="27"/>
      <x:c r="E210" s="27"/>
      <x:c r="F210" s="27"/>
      <x:c r="G210" s="27"/>
    </x:row>
    <x:row r="211">
      <x:c r="A211" s="27"/>
      <x:c r="B211" s="27"/>
      <x:c r="C211" s="27"/>
      <x:c r="D211" s="27"/>
      <x:c r="E211" s="27"/>
      <x:c r="F211" s="27"/>
      <x:c r="G211" s="27"/>
    </x:row>
    <x:row r="212">
      <x:c r="A212" s="27"/>
      <x:c r="B212" s="27"/>
      <x:c r="C212" s="27"/>
      <x:c r="D212" s="27"/>
      <x:c r="E212" s="27"/>
      <x:c r="F212" s="27"/>
      <x:c r="G212" s="27"/>
    </x:row>
    <x:row r="213">
      <x:c r="A213" s="27"/>
      <x:c r="B213" s="27"/>
      <x:c r="C213" s="27"/>
      <x:c r="D213" s="27"/>
      <x:c r="E213" s="27"/>
      <x:c r="F213" s="27"/>
      <x:c r="G213" s="27"/>
    </x:row>
    <x:row r="214">
      <x:c r="A214" s="27"/>
      <x:c r="B214" s="27"/>
      <x:c r="C214" s="27"/>
      <x:c r="D214" s="27"/>
      <x:c r="E214" s="27"/>
      <x:c r="F214" s="27"/>
      <x:c r="G214" s="27"/>
    </x:row>
    <x:row r="215">
      <x:c r="A215" s="27"/>
      <x:c r="B215" s="27"/>
      <x:c r="C215" s="27"/>
      <x:c r="D215" s="27"/>
      <x:c r="E215" s="27"/>
      <x:c r="F215" s="27"/>
      <x:c r="G215" s="27"/>
    </x:row>
    <x:row r="216">
      <x:c r="A216" s="27"/>
      <x:c r="B216" s="27"/>
      <x:c r="C216" s="27"/>
      <x:c r="D216" s="27"/>
      <x:c r="E216" s="27"/>
      <x:c r="F216" s="27"/>
      <x:c r="G216" s="27"/>
    </x:row>
    <x:row r="217">
      <x:c r="A217" s="27"/>
      <x:c r="B217" s="27"/>
      <x:c r="C217" s="27"/>
      <x:c r="D217" s="27"/>
      <x:c r="E217" s="27"/>
      <x:c r="F217" s="27"/>
      <x:c r="G217" s="27"/>
    </x:row>
    <x:row r="218">
      <x:c r="A218" s="27"/>
      <x:c r="B218" s="27"/>
      <x:c r="C218" s="27"/>
      <x:c r="D218" s="27"/>
      <x:c r="E218" s="27"/>
      <x:c r="F218" s="27"/>
      <x:c r="G218" s="27"/>
    </x:row>
    <x:row r="219">
      <x:c r="A219" s="27"/>
      <x:c r="B219" s="27"/>
      <x:c r="C219" s="27"/>
      <x:c r="D219" s="27"/>
      <x:c r="E219" s="27"/>
      <x:c r="F219" s="27"/>
      <x:c r="G219" s="27"/>
    </x:row>
    <x:row r="220">
      <x:c r="A220" s="27"/>
      <x:c r="B220" s="27"/>
      <x:c r="C220" s="27"/>
      <x:c r="D220" s="27"/>
      <x:c r="E220" s="27"/>
      <x:c r="F220" s="27"/>
      <x:c r="G220" s="27"/>
    </x:row>
    <x:row r="221">
      <x:c r="A221" s="27"/>
      <x:c r="B221" s="27"/>
      <x:c r="C221" s="27"/>
      <x:c r="D221" s="27"/>
      <x:c r="E221" s="27"/>
      <x:c r="F221" s="27"/>
      <x:c r="G221" s="27"/>
    </x:row>
    <x:row r="222">
      <x:c r="A222" s="27"/>
      <x:c r="B222" s="27"/>
      <x:c r="C222" s="27"/>
      <x:c r="D222" s="27"/>
      <x:c r="E222" s="27"/>
      <x:c r="F222" s="27"/>
      <x:c r="G222" s="27"/>
    </x:row>
    <x:row r="223">
      <x:c r="A223" s="27"/>
      <x:c r="B223" s="27"/>
      <x:c r="C223" s="27"/>
      <x:c r="D223" s="27"/>
      <x:c r="E223" s="27"/>
      <x:c r="F223" s="27"/>
      <x:c r="G223" s="27"/>
    </x:row>
    <x:row r="224">
      <x:c r="A224" s="27"/>
      <x:c r="B224" s="27"/>
      <x:c r="C224" s="27"/>
      <x:c r="D224" s="27"/>
      <x:c r="E224" s="27"/>
      <x:c r="F224" s="27"/>
      <x:c r="G224" s="27"/>
    </x:row>
    <x:row r="225">
      <x:c r="A225" s="27"/>
      <x:c r="B225" s="27"/>
      <x:c r="C225" s="27"/>
      <x:c r="D225" s="27"/>
      <x:c r="E225" s="27"/>
      <x:c r="F225" s="27"/>
      <x:c r="G225" s="27"/>
    </x:row>
    <x:row r="226">
      <x:c r="A226" s="27"/>
      <x:c r="B226" s="27"/>
      <x:c r="C226" s="27"/>
      <x:c r="D226" s="27"/>
      <x:c r="E226" s="27"/>
      <x:c r="F226" s="27"/>
      <x:c r="G226" s="27"/>
    </x:row>
    <x:row r="227">
      <x:c r="A227" s="27"/>
      <x:c r="B227" s="27"/>
      <x:c r="C227" s="27"/>
      <x:c r="D227" s="27"/>
      <x:c r="E227" s="27"/>
      <x:c r="F227" s="27"/>
      <x:c r="G227" s="27"/>
    </x:row>
    <x:row r="228">
      <x:c r="A228" s="27"/>
      <x:c r="B228" s="27"/>
      <x:c r="C228" s="27"/>
      <x:c r="D228" s="27"/>
      <x:c r="E228" s="27"/>
      <x:c r="F228" s="27"/>
      <x:c r="G228" s="27"/>
    </x:row>
    <x:row r="229">
      <x:c r="A229" s="27"/>
      <x:c r="B229" s="27"/>
      <x:c r="C229" s="27"/>
      <x:c r="D229" s="27"/>
      <x:c r="E229" s="27"/>
      <x:c r="F229" s="27"/>
      <x:c r="G229" s="27"/>
    </x:row>
    <x:row r="230">
      <x:c r="A230" s="27"/>
      <x:c r="B230" s="27"/>
      <x:c r="C230" s="27"/>
      <x:c r="D230" s="27"/>
      <x:c r="E230" s="27"/>
      <x:c r="F230" s="27"/>
      <x:c r="G230" s="27"/>
    </x:row>
    <x:row r="231">
      <x:c r="A231" s="27"/>
      <x:c r="B231" s="27"/>
      <x:c r="C231" s="27"/>
      <x:c r="D231" s="27"/>
      <x:c r="E231" s="27"/>
      <x:c r="F231" s="27"/>
      <x:c r="G231" s="27"/>
    </x:row>
    <x:row r="232">
      <x:c r="A232" s="27"/>
      <x:c r="B232" s="27"/>
      <x:c r="C232" s="27"/>
      <x:c r="D232" s="27"/>
      <x:c r="E232" s="27"/>
      <x:c r="F232" s="27"/>
      <x:c r="G232" s="27"/>
    </x:row>
    <x:row r="233">
      <x:c r="A233" s="27"/>
      <x:c r="B233" s="27"/>
      <x:c r="C233" s="27"/>
      <x:c r="D233" s="27"/>
      <x:c r="E233" s="27"/>
      <x:c r="F233" s="27"/>
      <x:c r="G233" s="27"/>
    </x:row>
    <x:row r="234">
      <x:c r="A234" s="27"/>
      <x:c r="B234" s="27"/>
      <x:c r="C234" s="27"/>
      <x:c r="D234" s="27"/>
      <x:c r="E234" s="27"/>
      <x:c r="F234" s="27"/>
      <x:c r="G234" s="27"/>
    </x:row>
    <x:row r="235">
      <x:c r="A235" s="27"/>
      <x:c r="B235" s="27"/>
      <x:c r="C235" s="27"/>
      <x:c r="D235" s="27"/>
      <x:c r="E235" s="27"/>
      <x:c r="F235" s="27"/>
      <x:c r="G235" s="27"/>
    </x:row>
    <x:row r="236">
      <x:c r="A236" s="27"/>
      <x:c r="B236" s="27"/>
      <x:c r="C236" s="27"/>
      <x:c r="D236" s="27"/>
      <x:c r="E236" s="27"/>
      <x:c r="F236" s="27"/>
      <x:c r="G236" s="27"/>
    </x:row>
    <x:row r="237">
      <x:c r="A237" s="27"/>
      <x:c r="B237" s="27"/>
      <x:c r="C237" s="27"/>
      <x:c r="D237" s="27"/>
      <x:c r="E237" s="27"/>
      <x:c r="F237" s="27"/>
      <x:c r="G237" s="27"/>
    </x:row>
    <x:row r="238">
      <x:c r="A238" s="27"/>
      <x:c r="B238" s="27"/>
      <x:c r="C238" s="27"/>
      <x:c r="D238" s="27"/>
      <x:c r="E238" s="27"/>
      <x:c r="F238" s="27"/>
      <x:c r="G238" s="27"/>
    </x:row>
    <x:row r="239">
      <x:c r="A239" s="27"/>
      <x:c r="B239" s="27"/>
      <x:c r="C239" s="27"/>
      <x:c r="D239" s="27"/>
      <x:c r="E239" s="27"/>
      <x:c r="F239" s="27"/>
      <x:c r="G239" s="27"/>
    </x:row>
    <x:row r="240">
      <x:c r="A240" s="27"/>
      <x:c r="B240" s="27"/>
      <x:c r="C240" s="27"/>
      <x:c r="D240" s="27"/>
      <x:c r="E240" s="27"/>
      <x:c r="F240" s="27"/>
      <x:c r="G240" s="27"/>
    </x:row>
    <x:row r="241">
      <x:c r="A241" s="27"/>
      <x:c r="B241" s="27"/>
      <x:c r="C241" s="27"/>
      <x:c r="D241" s="27"/>
      <x:c r="E241" s="27"/>
      <x:c r="F241" s="27"/>
      <x:c r="G241" s="27"/>
    </x:row>
    <x:row r="242">
      <x:c r="A242" s="27"/>
      <x:c r="B242" s="27"/>
      <x:c r="C242" s="27"/>
      <x:c r="D242" s="27"/>
      <x:c r="E242" s="27"/>
      <x:c r="F242" s="27"/>
      <x:c r="G242" s="27"/>
    </x:row>
    <x:row r="243">
      <x:c r="A243" s="27"/>
      <x:c r="B243" s="27"/>
      <x:c r="C243" s="27"/>
      <x:c r="D243" s="27"/>
      <x:c r="E243" s="27"/>
      <x:c r="F243" s="27"/>
      <x:c r="G243" s="27"/>
    </x:row>
    <x:row r="244">
      <x:c r="A244" s="27"/>
      <x:c r="B244" s="27"/>
      <x:c r="C244" s="27"/>
      <x:c r="D244" s="27"/>
      <x:c r="E244" s="27"/>
      <x:c r="F244" s="27"/>
      <x:c r="G244" s="27"/>
    </x:row>
    <x:row r="245">
      <x:c r="A245" s="27"/>
      <x:c r="B245" s="27"/>
      <x:c r="C245" s="27"/>
      <x:c r="D245" s="27"/>
      <x:c r="E245" s="27"/>
      <x:c r="F245" s="27"/>
      <x:c r="G245" s="27"/>
    </x:row>
    <x:row r="246">
      <x:c r="A246" s="27"/>
      <x:c r="B246" s="27"/>
      <x:c r="C246" s="27"/>
      <x:c r="D246" s="27"/>
      <x:c r="E246" s="27"/>
      <x:c r="F246" s="27"/>
      <x:c r="G246" s="27"/>
    </x:row>
    <x:row r="247">
      <x:c r="A247" s="27"/>
      <x:c r="B247" s="27"/>
      <x:c r="C247" s="27"/>
      <x:c r="D247" s="27"/>
      <x:c r="E247" s="27"/>
      <x:c r="F247" s="27"/>
      <x:c r="G247" s="27"/>
    </x:row>
    <x:row r="248">
      <x:c r="A248" s="27"/>
      <x:c r="B248" s="27"/>
      <x:c r="C248" s="27"/>
      <x:c r="D248" s="27"/>
      <x:c r="E248" s="27"/>
      <x:c r="F248" s="27"/>
      <x:c r="G248" s="27"/>
    </x:row>
    <x:row r="249">
      <x:c r="A249" s="27"/>
      <x:c r="B249" s="27"/>
      <x:c r="C249" s="27"/>
      <x:c r="D249" s="27"/>
      <x:c r="E249" s="27"/>
      <x:c r="F249" s="27"/>
      <x:c r="G249" s="27"/>
    </x:row>
    <x:row r="250">
      <x:c r="A250" s="27"/>
      <x:c r="B250" s="27"/>
      <x:c r="C250" s="27"/>
      <x:c r="D250" s="27"/>
      <x:c r="E250" s="27"/>
      <x:c r="F250" s="27"/>
      <x:c r="G250" s="27"/>
    </x:row>
    <x:row r="251">
      <x:c r="A251" s="27"/>
      <x:c r="B251" s="27"/>
      <x:c r="C251" s="27"/>
      <x:c r="D251" s="27"/>
      <x:c r="E251" s="27"/>
      <x:c r="F251" s="27"/>
      <x:c r="G251" s="27"/>
    </x:row>
    <x:row r="252">
      <x:c r="A252" s="27"/>
      <x:c r="B252" s="27"/>
      <x:c r="C252" s="27"/>
      <x:c r="D252" s="27"/>
      <x:c r="E252" s="27"/>
      <x:c r="F252" s="27"/>
      <x:c r="G252" s="27"/>
    </x:row>
    <x:row r="253">
      <x:c r="A253" s="27"/>
      <x:c r="B253" s="27"/>
      <x:c r="C253" s="27"/>
      <x:c r="D253" s="27"/>
      <x:c r="E253" s="27"/>
      <x:c r="F253" s="27"/>
      <x:c r="G253" s="27"/>
    </x:row>
    <x:row r="254">
      <x:c r="A254" s="27"/>
      <x:c r="B254" s="27"/>
      <x:c r="C254" s="27"/>
      <x:c r="D254" s="27"/>
      <x:c r="E254" s="27"/>
      <x:c r="F254" s="27"/>
      <x:c r="G254" s="27"/>
    </x:row>
    <x:row r="255">
      <x:c r="A255" s="27"/>
      <x:c r="B255" s="27"/>
      <x:c r="C255" s="27"/>
      <x:c r="D255" s="27"/>
      <x:c r="E255" s="27"/>
      <x:c r="F255" s="27"/>
      <x:c r="G255" s="27"/>
    </x:row>
    <x:row r="256">
      <x:c r="A256" s="27"/>
      <x:c r="B256" s="27"/>
      <x:c r="C256" s="27"/>
      <x:c r="D256" s="27"/>
      <x:c r="E256" s="27"/>
      <x:c r="F256" s="27"/>
      <x:c r="G256" s="27"/>
    </x:row>
    <x:row r="257">
      <x:c r="A257" s="27"/>
      <x:c r="B257" s="27"/>
      <x:c r="C257" s="27"/>
      <x:c r="D257" s="27"/>
      <x:c r="E257" s="27"/>
      <x:c r="F257" s="27"/>
      <x:c r="G257" s="27"/>
    </x:row>
    <x:row r="258">
      <x:c r="A258" s="27"/>
      <x:c r="B258" s="27"/>
      <x:c r="C258" s="27"/>
      <x:c r="D258" s="27"/>
      <x:c r="E258" s="27"/>
      <x:c r="F258" s="27"/>
      <x:c r="G258" s="27"/>
    </x:row>
    <x:row r="259">
      <x:c r="A259" s="27"/>
      <x:c r="B259" s="27"/>
      <x:c r="C259" s="27"/>
      <x:c r="D259" s="27"/>
      <x:c r="E259" s="27"/>
      <x:c r="F259" s="27"/>
      <x:c r="G259" s="27"/>
    </x:row>
    <x:row r="260">
      <x:c r="A260" s="27"/>
      <x:c r="B260" s="27"/>
      <x:c r="C260" s="27"/>
      <x:c r="D260" s="27"/>
      <x:c r="E260" s="27"/>
      <x:c r="F260" s="27"/>
      <x:c r="G260" s="27"/>
    </x:row>
    <x:row r="261">
      <x:c r="A261" s="27"/>
      <x:c r="B261" s="27"/>
      <x:c r="C261" s="27"/>
      <x:c r="D261" s="27"/>
      <x:c r="E261" s="27"/>
      <x:c r="F261" s="27"/>
      <x:c r="G261" s="27"/>
    </x:row>
    <x:row r="262">
      <x:c r="A262" s="27"/>
      <x:c r="B262" s="27"/>
      <x:c r="C262" s="27"/>
      <x:c r="D262" s="27"/>
      <x:c r="E262" s="27"/>
      <x:c r="F262" s="27"/>
      <x:c r="G262" s="27"/>
    </x:row>
    <x:row r="263">
      <x:c r="A263" s="27"/>
      <x:c r="B263" s="27"/>
      <x:c r="C263" s="27"/>
      <x:c r="D263" s="27"/>
      <x:c r="E263" s="27"/>
      <x:c r="F263" s="27"/>
      <x:c r="G263" s="27"/>
    </x:row>
    <x:row r="264">
      <x:c r="A264" s="27"/>
      <x:c r="B264" s="27"/>
      <x:c r="C264" s="27"/>
      <x:c r="D264" s="27"/>
      <x:c r="E264" s="27"/>
      <x:c r="F264" s="27"/>
      <x:c r="G264" s="27"/>
    </x:row>
    <x:row r="265">
      <x:c r="A265" s="27"/>
      <x:c r="B265" s="27"/>
      <x:c r="C265" s="27"/>
      <x:c r="D265" s="27"/>
      <x:c r="E265" s="27"/>
      <x:c r="F265" s="27"/>
      <x:c r="G265" s="27"/>
    </x:row>
    <x:row r="266">
      <x:c r="A266" s="27"/>
      <x:c r="B266" s="27"/>
      <x:c r="C266" s="27"/>
      <x:c r="D266" s="27"/>
      <x:c r="E266" s="27"/>
      <x:c r="F266" s="27"/>
      <x:c r="G266" s="27"/>
    </x:row>
    <x:row r="267">
      <x:c r="A267" s="27"/>
      <x:c r="B267" s="27"/>
      <x:c r="C267" s="27"/>
      <x:c r="D267" s="27"/>
      <x:c r="E267" s="27"/>
      <x:c r="F267" s="27"/>
      <x:c r="G267" s="27"/>
    </x:row>
    <x:row r="268">
      <x:c r="A268" s="27"/>
      <x:c r="B268" s="27"/>
      <x:c r="C268" s="27"/>
      <x:c r="D268" s="27"/>
      <x:c r="E268" s="27"/>
      <x:c r="F268" s="27"/>
      <x:c r="G268" s="27"/>
    </x:row>
    <x:row r="269">
      <x:c r="A269" s="27"/>
      <x:c r="B269" s="27"/>
      <x:c r="C269" s="27"/>
      <x:c r="D269" s="27"/>
      <x:c r="E269" s="27"/>
      <x:c r="F269" s="27"/>
      <x:c r="G269" s="27"/>
    </x:row>
    <x:row r="270">
      <x:c r="A270" s="27"/>
      <x:c r="B270" s="27"/>
      <x:c r="C270" s="27"/>
      <x:c r="D270" s="27"/>
      <x:c r="E270" s="27"/>
      <x:c r="F270" s="27"/>
      <x:c r="G270" s="27"/>
    </x:row>
    <x:row r="271">
      <x:c r="A271" s="27"/>
      <x:c r="B271" s="27"/>
      <x:c r="C271" s="27"/>
      <x:c r="D271" s="27"/>
      <x:c r="E271" s="27"/>
      <x:c r="F271" s="27"/>
      <x:c r="G271" s="27"/>
    </x:row>
    <x:row r="272">
      <x:c r="A272" s="27"/>
      <x:c r="B272" s="27"/>
      <x:c r="C272" s="27"/>
      <x:c r="D272" s="27"/>
      <x:c r="E272" s="27"/>
      <x:c r="F272" s="27"/>
      <x:c r="G272" s="27"/>
    </x:row>
    <x:row r="273">
      <x:c r="A273" s="27"/>
      <x:c r="B273" s="27"/>
      <x:c r="C273" s="27"/>
      <x:c r="D273" s="27"/>
      <x:c r="E273" s="27"/>
      <x:c r="F273" s="27"/>
      <x:c r="G273" s="27"/>
    </x:row>
    <x:row r="274">
      <x:c r="A274" s="27"/>
      <x:c r="B274" s="27"/>
      <x:c r="C274" s="27"/>
      <x:c r="D274" s="27"/>
      <x:c r="E274" s="27"/>
      <x:c r="F274" s="27"/>
      <x:c r="G274" s="27"/>
    </x:row>
    <x:row r="275">
      <x:c r="A275" s="27"/>
      <x:c r="B275" s="27"/>
      <x:c r="C275" s="27"/>
      <x:c r="D275" s="27"/>
      <x:c r="E275" s="27"/>
      <x:c r="F275" s="27"/>
      <x:c r="G275" s="27"/>
    </x:row>
    <x:row r="276">
      <x:c r="A276" s="27"/>
      <x:c r="B276" s="27"/>
      <x:c r="C276" s="27"/>
      <x:c r="D276" s="27"/>
      <x:c r="E276" s="27"/>
      <x:c r="F276" s="27"/>
      <x:c r="G276" s="27"/>
    </x:row>
    <x:row r="277">
      <x:c r="A277" s="27"/>
      <x:c r="B277" s="27"/>
      <x:c r="C277" s="27"/>
      <x:c r="D277" s="27"/>
      <x:c r="E277" s="27"/>
      <x:c r="F277" s="27"/>
      <x:c r="G277" s="27"/>
    </x:row>
    <x:row r="278">
      <x:c r="A278" s="27"/>
      <x:c r="B278" s="27"/>
      <x:c r="C278" s="27"/>
      <x:c r="D278" s="27"/>
      <x:c r="E278" s="27"/>
      <x:c r="F278" s="27"/>
      <x:c r="G278" s="27"/>
    </x:row>
    <x:row r="279">
      <x:c r="A279" s="27"/>
      <x:c r="B279" s="27"/>
      <x:c r="C279" s="27"/>
      <x:c r="D279" s="27"/>
      <x:c r="E279" s="27"/>
      <x:c r="F279" s="27"/>
      <x:c r="G279" s="27"/>
    </x:row>
    <x:row r="280">
      <x:c r="A280" s="27"/>
      <x:c r="B280" s="27"/>
      <x:c r="C280" s="27"/>
      <x:c r="D280" s="27"/>
      <x:c r="E280" s="27"/>
      <x:c r="F280" s="27"/>
      <x:c r="G280" s="27"/>
    </x:row>
    <x:row r="281">
      <x:c r="A281" s="27"/>
      <x:c r="B281" s="27"/>
      <x:c r="C281" s="27"/>
      <x:c r="D281" s="27"/>
      <x:c r="E281" s="27"/>
      <x:c r="F281" s="27"/>
      <x:c r="G281" s="27"/>
    </x:row>
    <x:row r="282">
      <x:c r="A282" s="27"/>
      <x:c r="B282" s="27"/>
      <x:c r="C282" s="27"/>
      <x:c r="D282" s="27"/>
      <x:c r="E282" s="27"/>
      <x:c r="F282" s="27"/>
      <x:c r="G282" s="27"/>
    </x:row>
    <x:row r="283">
      <x:c r="A283" s="27"/>
      <x:c r="B283" s="27"/>
      <x:c r="C283" s="27"/>
      <x:c r="D283" s="27"/>
      <x:c r="E283" s="27"/>
      <x:c r="F283" s="27"/>
      <x:c r="G283" s="27"/>
    </x:row>
    <x:row r="284">
      <x:c r="A284" s="27"/>
      <x:c r="B284" s="27"/>
      <x:c r="C284" s="27"/>
      <x:c r="D284" s="27"/>
      <x:c r="E284" s="27"/>
      <x:c r="F284" s="27"/>
      <x:c r="G284" s="27"/>
    </x:row>
    <x:row r="285">
      <x:c r="A285" s="27"/>
      <x:c r="B285" s="27"/>
      <x:c r="C285" s="27"/>
      <x:c r="D285" s="27"/>
      <x:c r="E285" s="27"/>
      <x:c r="F285" s="27"/>
      <x:c r="G285" s="27"/>
    </x:row>
    <x:row r="286">
      <x:c r="A286" s="27"/>
      <x:c r="B286" s="27"/>
      <x:c r="C286" s="27"/>
      <x:c r="D286" s="27"/>
      <x:c r="E286" s="27"/>
      <x:c r="F286" s="27"/>
      <x:c r="G286" s="27"/>
    </x:row>
    <x:row r="287">
      <x:c r="A287" s="27"/>
      <x:c r="B287" s="27"/>
      <x:c r="C287" s="27"/>
      <x:c r="D287" s="27"/>
      <x:c r="E287" s="27"/>
      <x:c r="F287" s="27"/>
      <x:c r="G287" s="27"/>
    </x:row>
    <x:row r="288">
      <x:c r="A288" s="27"/>
      <x:c r="B288" s="27"/>
      <x:c r="C288" s="27"/>
      <x:c r="D288" s="27"/>
      <x:c r="E288" s="27"/>
      <x:c r="F288" s="27"/>
      <x:c r="G288" s="27"/>
    </x:row>
    <x:row r="289">
      <x:c r="A289" s="27"/>
      <x:c r="B289" s="27"/>
      <x:c r="C289" s="27"/>
      <x:c r="D289" s="27"/>
      <x:c r="E289" s="27"/>
      <x:c r="F289" s="27"/>
      <x:c r="G289" s="27"/>
    </x:row>
    <x:row r="290">
      <x:c r="A290" s="27"/>
      <x:c r="B290" s="27"/>
      <x:c r="C290" s="27"/>
      <x:c r="D290" s="27"/>
      <x:c r="E290" s="27"/>
      <x:c r="F290" s="27"/>
      <x:c r="G290" s="27"/>
    </x:row>
    <x:row r="291">
      <x:c r="A291" s="27"/>
      <x:c r="B291" s="27"/>
      <x:c r="C291" s="27"/>
      <x:c r="D291" s="27"/>
      <x:c r="E291" s="27"/>
      <x:c r="F291" s="27"/>
      <x:c r="G291" s="27"/>
    </x:row>
    <x:row r="292">
      <x:c r="A292" s="27"/>
      <x:c r="B292" s="27"/>
      <x:c r="C292" s="27"/>
      <x:c r="D292" s="27"/>
      <x:c r="E292" s="27"/>
      <x:c r="F292" s="27"/>
      <x:c r="G292" s="27"/>
    </x:row>
    <x:row r="293">
      <x:c r="A293" s="27"/>
      <x:c r="B293" s="27"/>
      <x:c r="C293" s="27"/>
      <x:c r="D293" s="27"/>
      <x:c r="E293" s="27"/>
      <x:c r="F293" s="27"/>
      <x:c r="G293" s="27"/>
    </x:row>
    <x:row r="294">
      <x:c r="A294" s="27"/>
      <x:c r="B294" s="27"/>
      <x:c r="C294" s="27"/>
      <x:c r="D294" s="27"/>
      <x:c r="E294" s="27"/>
      <x:c r="F294" s="27"/>
      <x:c r="G294" s="27"/>
    </x:row>
    <x:row r="295">
      <x:c r="A295" s="27"/>
      <x:c r="B295" s="27"/>
      <x:c r="C295" s="27"/>
      <x:c r="D295" s="27"/>
      <x:c r="E295" s="27"/>
      <x:c r="F295" s="27"/>
      <x:c r="G295" s="27"/>
    </x:row>
    <x:row r="296">
      <x:c r="A296" s="27"/>
      <x:c r="B296" s="27"/>
      <x:c r="C296" s="27"/>
      <x:c r="D296" s="27"/>
      <x:c r="E296" s="27"/>
      <x:c r="F296" s="27"/>
      <x:c r="G296" s="27"/>
    </x:row>
    <x:row r="297">
      <x:c r="A297" s="27"/>
      <x:c r="B297" s="27"/>
      <x:c r="C297" s="27"/>
      <x:c r="D297" s="27"/>
      <x:c r="E297" s="27"/>
      <x:c r="F297" s="27"/>
      <x:c r="G297" s="27"/>
    </x:row>
    <x:row r="298">
      <x:c r="A298" s="27"/>
      <x:c r="B298" s="27"/>
      <x:c r="C298" s="27"/>
      <x:c r="D298" s="27"/>
      <x:c r="E298" s="27"/>
      <x:c r="F298" s="27"/>
      <x:c r="G298" s="27"/>
    </x:row>
    <x:row r="299">
      <x:c r="A299" s="27"/>
      <x:c r="B299" s="27"/>
      <x:c r="C299" s="27"/>
      <x:c r="D299" s="27"/>
      <x:c r="E299" s="27"/>
      <x:c r="F299" s="27"/>
      <x:c r="G299" s="27"/>
    </x:row>
    <x:row r="300">
      <x:c r="A300" s="27"/>
      <x:c r="B300" s="27"/>
      <x:c r="C300" s="27"/>
      <x:c r="D300" s="27"/>
      <x:c r="E300" s="27"/>
      <x:c r="F300" s="27"/>
      <x:c r="G300" s="27"/>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38" hidden="0" customWidth="1"/>
    <x:col min="3" max="3" width="84" hidden="0" customWidth="1"/>
    <x:col min="4" max="4" width="68" hidden="0" customWidth="1"/>
    <x:col min="5" max="5" width="16" hidden="0" customWidth="1"/>
  </x:cols>
  <x:sheetData>
    <x:row r="1">
      <x:c r="A1" s="64" t="str">
        <x:v>Context Key</x:v>
      </x:c>
      <x:c r="B1" s="64" t="str">
        <x:v>When to Use</x:v>
      </x:c>
      <x:c r="C1" s="64" t="str">
        <x:v>How It Changes the Prose</x:v>
      </x:c>
      <x:c r="D1" s="64" t="str">
        <x:v>Guardrail</x:v>
      </x:c>
      <x:c r="E1" s="64" t="str">
        <x:v>Status</x:v>
      </x:c>
    </x:row>
    <x:row r="2">
      <x:c r="A2" s="27" t="str">
        <x:v>exact</x:v>
      </x:c>
      <x:c r="B2" s="27" t="str">
        <x:v>Exact / peak window</x:v>
      </x:c>
      <x:c r="C2" s="27" t="str">
        <x:v>Use present-tense consequence. The card header owns the date and time unless timing itself changes the advice.</x:v>
      </x:c>
      <x:c r="D2" s="27" t="str">
        <x:v>Do not add generic intensity language.</x:v>
      </x:c>
      <x:c r="E2" s="27" t="str">
        <x:v>AUTHORED</x:v>
      </x:c>
    </x:row>
    <x:row r="3">
      <x:c r="A3" s="27" t="str">
        <x:v>applying_close</x:v>
      </x:c>
      <x:c r="B3" s="27" t="str">
        <x:v>Applying and close</x:v>
      </x:c>
      <x:c r="C3" s="27" t="str">
        <x:v>Write the situation as building or becoming harder to ignore. Use soft certainty and show what may surface before exactness.</x:v>
      </x:c>
      <x:c r="D3" s="27" t="str">
        <x:v>Do not write the full consequence as already completed.</x:v>
      </x:c>
      <x:c r="E3" s="27" t="str">
        <x:v>AUTHORED</x:v>
      </x:c>
    </x:row>
    <x:row r="4">
      <x:c r="A4" s="27" t="str">
        <x:v>applying_wide</x:v>
      </x:c>
      <x:c r="B4" s="27" t="str">
        <x:v>Applying but early</x:v>
      </x:c>
      <x:c r="C4" s="27" t="str">
        <x:v>Forecast the first recognizable signs and the decision likely to matter if the aspect keeps tightening.</x:v>
      </x:c>
      <x:c r="D4" s="27" t="str">
        <x:v>Keep claims narrower than at exactness.</x:v>
      </x:c>
      <x:c r="E4" s="27" t="str">
        <x:v>AUTHORED</x:v>
      </x:c>
    </x:row>
    <x:row r="5">
      <x:c r="A5" s="27" t="str">
        <x:v>separating_close</x:v>
      </x:c>
      <x:c r="B5" s="27" t="str">
        <x:v>Separating but still active</x:v>
      </x:c>
      <x:c r="C5" s="27" t="str">
        <x:v>Focus on aftermath, correction, cleanup, renegotiation, or what remains once the peak has already exposed the issue.</x:v>
      </x:c>
      <x:c r="D5" s="27" t="str">
        <x:v>Do not write it as a fresh arrival.</x:v>
      </x:c>
      <x:c r="E5" s="27" t="str">
        <x:v>AUTHORED</x:v>
      </x:c>
    </x:row>
    <x:row r="6">
      <x:c r="A6" s="27" t="str">
        <x:v>separating_wide</x:v>
      </x:c>
      <x:c r="B6" s="27" t="str">
        <x:v>Separating and fading</x:v>
      </x:c>
      <x:c r="C6" s="27" t="str">
        <x:v>Focus on what is worth carrying forward if the product still surfaces the transit.</x:v>
      </x:c>
      <x:c r="D6" s="27" t="str">
        <x:v>Avoid stale urgency.</x:v>
      </x:c>
      <x:c r="E6" s="27" t="str">
        <x:v>AUTHORED</x:v>
      </x:c>
    </x:row>
    <x:row r="7">
      <x:c r="A7" s="27" t="str">
        <x:v>station</x:v>
      </x:c>
      <x:c r="B7" s="27" t="str">
        <x:v>A body is stationing</x:v>
      </x:c>
      <x:c r="C7" s="27" t="str">
        <x:v>Give the stationing planet more weight only when delay, reversal, concentration, or a decision becoming harder to move materially changes the situation.</x:v>
      </x:c>
      <x:c r="D7" s="27" t="str">
        <x:v>Do not mention a station simply because metadata contains it.</x:v>
      </x:c>
      <x:c r="E7" s="27" t="str">
        <x:v>AUTHORED</x:v>
      </x:c>
    </x:row>
    <x:row r="8">
      <x:c r="A8" s="27" t="str">
        <x:v>retrograde</x:v>
      </x:c>
      <x:c r="B8" s="27" t="str">
        <x:v>A body is retrograde</x:v>
      </x:c>
      <x:c r="C8" s="27" t="str">
        <x:v>Use review, return, renegotiation, repetition, or reversal only when that planet's retrograde state changes the actual scenario.</x:v>
      </x:c>
      <x:c r="D8" s="27" t="str">
        <x:v>Retrograde is not a generic bad-news modifier.</x:v>
      </x:c>
      <x:c r="E8" s="27" t="str">
        <x:v>AUTHORED</x:v>
      </x:c>
    </x:row>
    <x:row r="9">
      <x:c r="A9" s="27" t="str">
        <x:v>ingress</x:v>
      </x:c>
      <x:c r="B9" s="27" t="str">
        <x:v>A body just entered a sign</x:v>
      </x:c>
      <x:c r="C9" s="27" t="str">
        <x:v>Let the new sign method become more visible, especially when the old way of handling the issue stops working.</x:v>
      </x:c>
      <x:c r="D9" s="27" t="str">
        <x:v>Do not turn every ingress into a dramatic reset.</x:v>
      </x:c>
      <x:c r="E9" s="27" t="str">
        <x:v>AUTHORED</x:v>
      </x:c>
    </x:row>
    <x:row r="10">
      <x:c r="A10" s="27"/>
      <x:c r="B10" s="27"/>
      <x:c r="C10" s="27"/>
      <x:c r="D10" s="27"/>
      <x:c r="E10" s="27"/>
    </x:row>
    <x:row r="11">
      <x:c r="A11" s="27"/>
      <x:c r="B11" s="27"/>
      <x:c r="C11" s="27"/>
      <x:c r="D11" s="27"/>
      <x:c r="E11" s="27"/>
    </x:row>
    <x:row r="12">
      <x:c r="A12" s="27"/>
      <x:c r="B12" s="27"/>
      <x:c r="C12" s="27"/>
      <x:c r="D12" s="27"/>
      <x:c r="E12" s="27"/>
    </x:row>
    <x:row r="13">
      <x:c r="A13" s="27"/>
      <x:c r="B13" s="27"/>
      <x:c r="C13" s="27"/>
      <x:c r="D13" s="27"/>
      <x:c r="E13" s="27"/>
    </x:row>
    <x:row r="14">
      <x:c r="A14" s="27"/>
      <x:c r="B14" s="27"/>
      <x:c r="C14" s="27"/>
      <x:c r="D14" s="27"/>
      <x:c r="E14" s="27"/>
    </x:row>
    <x:row r="15">
      <x:c r="A15" s="27"/>
      <x:c r="B15" s="27"/>
      <x:c r="C15" s="27"/>
      <x:c r="D15" s="27"/>
      <x:c r="E15" s="27"/>
    </x:row>
    <x:row r="16">
      <x:c r="A16" s="27"/>
      <x:c r="B16" s="27"/>
      <x:c r="C16" s="27"/>
      <x:c r="D16" s="27"/>
      <x:c r="E16" s="27"/>
    </x:row>
    <x:row r="17">
      <x:c r="A17" s="27"/>
      <x:c r="B17" s="27"/>
      <x:c r="C17" s="27"/>
      <x:c r="D17" s="27"/>
      <x:c r="E17" s="27"/>
    </x:row>
    <x:row r="18">
      <x:c r="A18" s="27"/>
      <x:c r="B18" s="27"/>
      <x:c r="C18" s="27"/>
      <x:c r="D18" s="27"/>
      <x:c r="E18" s="27"/>
    </x:row>
    <x:row r="19">
      <x:c r="A19" s="27"/>
      <x:c r="B19" s="27"/>
      <x:c r="C19" s="27"/>
      <x:c r="D19" s="27"/>
      <x:c r="E19" s="27"/>
    </x:row>
    <x:row r="20">
      <x:c r="A20" s="27"/>
      <x:c r="B20" s="27"/>
      <x:c r="C20" s="27"/>
      <x:c r="D20" s="27"/>
      <x:c r="E20" s="27"/>
    </x:row>
    <x:row r="21">
      <x:c r="A21" s="27"/>
      <x:c r="B21" s="27"/>
      <x:c r="C21" s="27"/>
      <x:c r="D21" s="27"/>
      <x:c r="E21" s="27"/>
    </x:row>
    <x:row r="22">
      <x:c r="A22" s="27"/>
      <x:c r="B22" s="27"/>
      <x:c r="C22" s="27"/>
      <x:c r="D22" s="27"/>
      <x:c r="E22" s="27"/>
    </x:row>
    <x:row r="23">
      <x:c r="A23" s="27"/>
      <x:c r="B23" s="27"/>
      <x:c r="C23" s="27"/>
      <x:c r="D23" s="27"/>
      <x:c r="E23" s="27"/>
    </x:row>
    <x:row r="24">
      <x:c r="A24" s="27"/>
      <x:c r="B24" s="27"/>
      <x:c r="C24" s="27"/>
      <x:c r="D24" s="27"/>
      <x:c r="E24" s="27"/>
    </x:row>
    <x:row r="25">
      <x:c r="A25" s="27"/>
      <x:c r="B25" s="27"/>
      <x:c r="C25" s="27"/>
      <x:c r="D25" s="27"/>
      <x:c r="E25" s="27"/>
    </x:row>
    <x:row r="26">
      <x:c r="A26" s="27"/>
      <x:c r="B26" s="27"/>
      <x:c r="C26" s="27"/>
      <x:c r="D26" s="27"/>
      <x:c r="E26" s="27"/>
    </x:row>
    <x:row r="27">
      <x:c r="A27" s="27"/>
      <x:c r="B27" s="27"/>
      <x:c r="C27" s="27"/>
      <x:c r="D27" s="27"/>
      <x:c r="E27" s="27"/>
    </x:row>
    <x:row r="28">
      <x:c r="A28" s="27"/>
      <x:c r="B28" s="27"/>
      <x:c r="C28" s="27"/>
      <x:c r="D28" s="27"/>
      <x:c r="E28" s="27"/>
    </x:row>
    <x:row r="29">
      <x:c r="A29" s="27"/>
      <x:c r="B29" s="27"/>
      <x:c r="C29" s="27"/>
      <x:c r="D29" s="27"/>
      <x:c r="E29" s="27"/>
    </x:row>
    <x:row r="30">
      <x:c r="A30" s="27"/>
      <x:c r="B30" s="27"/>
      <x:c r="C30" s="27"/>
      <x:c r="D30" s="27"/>
      <x:c r="E30" s="27"/>
    </x:row>
    <x:row r="31">
      <x:c r="A31" s="27"/>
      <x:c r="B31" s="27"/>
      <x:c r="C31" s="27"/>
      <x:c r="D31" s="27"/>
      <x:c r="E31" s="27"/>
    </x:row>
    <x:row r="32">
      <x:c r="A32" s="27"/>
      <x:c r="B32" s="27"/>
      <x:c r="C32" s="27"/>
      <x:c r="D32" s="27"/>
      <x:c r="E32" s="27"/>
    </x:row>
    <x:row r="33">
      <x:c r="A33" s="27"/>
      <x:c r="B33" s="27"/>
      <x:c r="C33" s="27"/>
      <x:c r="D33" s="27"/>
      <x:c r="E33" s="27"/>
    </x:row>
    <x:row r="34">
      <x:c r="A34" s="27"/>
      <x:c r="B34" s="27"/>
      <x:c r="C34" s="27"/>
      <x:c r="D34" s="27"/>
      <x:c r="E34" s="27"/>
    </x:row>
    <x:row r="35">
      <x:c r="A35" s="27"/>
      <x:c r="B35" s="27"/>
      <x:c r="C35" s="27"/>
      <x:c r="D35" s="27"/>
      <x:c r="E35" s="27"/>
    </x:row>
    <x:row r="36">
      <x:c r="A36" s="27"/>
      <x:c r="B36" s="27"/>
      <x:c r="C36" s="27"/>
      <x:c r="D36" s="27"/>
      <x:c r="E36" s="27"/>
    </x:row>
    <x:row r="37">
      <x:c r="A37" s="27"/>
      <x:c r="B37" s="27"/>
      <x:c r="C37" s="27"/>
      <x:c r="D37" s="27"/>
      <x:c r="E37" s="27"/>
    </x:row>
    <x:row r="38">
      <x:c r="A38" s="27"/>
      <x:c r="B38" s="27"/>
      <x:c r="C38" s="27"/>
      <x:c r="D38" s="27"/>
      <x:c r="E38" s="27"/>
    </x:row>
    <x:row r="39">
      <x:c r="A39" s="27"/>
      <x:c r="B39" s="27"/>
      <x:c r="C39" s="27"/>
      <x:c r="D39" s="27"/>
      <x:c r="E39" s="27"/>
    </x:row>
    <x:row r="40">
      <x:c r="A40" s="27"/>
      <x:c r="B40" s="27"/>
      <x:c r="C40" s="27"/>
      <x:c r="D40" s="27"/>
      <x:c r="E40" s="27"/>
    </x:row>
    <x:row r="41">
      <x:c r="A41" s="27"/>
      <x:c r="B41" s="27"/>
      <x:c r="C41" s="27"/>
      <x:c r="D41" s="27"/>
      <x:c r="E41" s="27"/>
    </x:row>
    <x:row r="42">
      <x:c r="A42" s="27"/>
      <x:c r="B42" s="27"/>
      <x:c r="C42" s="27"/>
      <x:c r="D42" s="27"/>
      <x:c r="E42" s="27"/>
    </x:row>
    <x:row r="43">
      <x:c r="A43" s="27"/>
      <x:c r="B43" s="27"/>
      <x:c r="C43" s="27"/>
      <x:c r="D43" s="27"/>
      <x:c r="E43" s="27"/>
    </x:row>
    <x:row r="44">
      <x:c r="A44" s="27"/>
      <x:c r="B44" s="27"/>
      <x:c r="C44" s="27"/>
      <x:c r="D44" s="27"/>
      <x:c r="E44" s="27"/>
    </x:row>
    <x:row r="45">
      <x:c r="A45" s="27"/>
      <x:c r="B45" s="27"/>
      <x:c r="C45" s="27"/>
      <x:c r="D45" s="27"/>
      <x:c r="E45" s="27"/>
    </x:row>
    <x:row r="46">
      <x:c r="A46" s="27"/>
      <x:c r="B46" s="27"/>
      <x:c r="C46" s="27"/>
      <x:c r="D46" s="27"/>
      <x:c r="E46" s="27"/>
    </x:row>
    <x:row r="47">
      <x:c r="A47" s="27"/>
      <x:c r="B47" s="27"/>
      <x:c r="C47" s="27"/>
      <x:c r="D47" s="27"/>
      <x:c r="E47" s="27"/>
    </x:row>
    <x:row r="48">
      <x:c r="A48" s="27"/>
      <x:c r="B48" s="27"/>
      <x:c r="C48" s="27"/>
      <x:c r="D48" s="27"/>
      <x:c r="E48" s="27"/>
    </x:row>
    <x:row r="49">
      <x:c r="A49" s="27"/>
      <x:c r="B49" s="27"/>
      <x:c r="C49" s="27"/>
      <x:c r="D49" s="27"/>
      <x:c r="E49" s="27"/>
    </x:row>
    <x:row r="50">
      <x:c r="A50" s="27"/>
      <x:c r="B50" s="27"/>
      <x:c r="C50" s="27"/>
      <x:c r="D50" s="27"/>
      <x:c r="E50" s="27"/>
    </x:row>
    <x:row r="51">
      <x:c r="A51" s="27"/>
      <x:c r="B51" s="27"/>
      <x:c r="C51" s="27"/>
      <x:c r="D51" s="27"/>
      <x:c r="E51" s="27"/>
    </x:row>
    <x:row r="52">
      <x:c r="A52" s="27"/>
      <x:c r="B52" s="27"/>
      <x:c r="C52" s="27"/>
      <x:c r="D52" s="27"/>
      <x:c r="E52" s="27"/>
    </x:row>
    <x:row r="53">
      <x:c r="A53" s="27"/>
      <x:c r="B53" s="27"/>
      <x:c r="C53" s="27"/>
      <x:c r="D53" s="27"/>
      <x:c r="E53" s="27"/>
    </x:row>
    <x:row r="54">
      <x:c r="A54" s="27"/>
      <x:c r="B54" s="27"/>
      <x:c r="C54" s="27"/>
      <x:c r="D54" s="27"/>
      <x:c r="E54" s="27"/>
    </x:row>
    <x:row r="55">
      <x:c r="A55" s="27"/>
      <x:c r="B55" s="27"/>
      <x:c r="C55" s="27"/>
      <x:c r="D55" s="27"/>
      <x:c r="E55" s="27"/>
    </x:row>
    <x:row r="56">
      <x:c r="A56" s="27"/>
      <x:c r="B56" s="27"/>
      <x:c r="C56" s="27"/>
      <x:c r="D56" s="27"/>
      <x:c r="E56" s="27"/>
    </x:row>
    <x:row r="57">
      <x:c r="A57" s="27"/>
      <x:c r="B57" s="27"/>
      <x:c r="C57" s="27"/>
      <x:c r="D57" s="27"/>
      <x:c r="E57" s="27"/>
    </x:row>
    <x:row r="58">
      <x:c r="A58" s="27"/>
      <x:c r="B58" s="27"/>
      <x:c r="C58" s="27"/>
      <x:c r="D58" s="27"/>
      <x:c r="E58" s="27"/>
    </x:row>
    <x:row r="59">
      <x:c r="A59" s="27"/>
      <x:c r="B59" s="27"/>
      <x:c r="C59" s="27"/>
      <x:c r="D59" s="27"/>
      <x:c r="E59" s="27"/>
    </x:row>
    <x:row r="60">
      <x:c r="A60" s="27"/>
      <x:c r="B60" s="27"/>
      <x:c r="C60" s="27"/>
      <x:c r="D60" s="27"/>
      <x:c r="E60" s="27"/>
    </x:row>
    <x:row r="61">
      <x:c r="A61" s="27"/>
      <x:c r="B61" s="27"/>
      <x:c r="C61" s="27"/>
      <x:c r="D61" s="27"/>
      <x:c r="E61" s="27"/>
    </x:row>
    <x:row r="62">
      <x:c r="A62" s="27"/>
      <x:c r="B62" s="27"/>
      <x:c r="C62" s="27"/>
      <x:c r="D62" s="27"/>
      <x:c r="E62" s="27"/>
    </x:row>
    <x:row r="63">
      <x:c r="A63" s="27"/>
      <x:c r="B63" s="27"/>
      <x:c r="C63" s="27"/>
      <x:c r="D63" s="27"/>
      <x:c r="E63" s="27"/>
    </x:row>
    <x:row r="64">
      <x:c r="A64" s="27"/>
      <x:c r="B64" s="27"/>
      <x:c r="C64" s="27"/>
      <x:c r="D64" s="27"/>
      <x:c r="E64" s="27"/>
    </x:row>
    <x:row r="65">
      <x:c r="A65" s="27"/>
      <x:c r="B65" s="27"/>
      <x:c r="C65" s="27"/>
      <x:c r="D65" s="27"/>
      <x:c r="E65" s="27"/>
    </x:row>
    <x:row r="66">
      <x:c r="A66" s="27"/>
      <x:c r="B66" s="27"/>
      <x:c r="C66" s="27"/>
      <x:c r="D66" s="27"/>
      <x:c r="E66" s="27"/>
    </x:row>
    <x:row r="67">
      <x:c r="A67" s="27"/>
      <x:c r="B67" s="27"/>
      <x:c r="C67" s="27"/>
      <x:c r="D67" s="27"/>
      <x:c r="E67" s="27"/>
    </x:row>
    <x:row r="68">
      <x:c r="A68" s="27"/>
      <x:c r="B68" s="27"/>
      <x:c r="C68" s="27"/>
      <x:c r="D68" s="27"/>
      <x:c r="E68" s="27"/>
    </x:row>
    <x:row r="69">
      <x:c r="A69" s="27"/>
      <x:c r="B69" s="27"/>
      <x:c r="C69" s="27"/>
      <x:c r="D69" s="27"/>
      <x:c r="E69" s="27"/>
    </x:row>
    <x:row r="70">
      <x:c r="A70" s="27"/>
      <x:c r="B70" s="27"/>
      <x:c r="C70" s="27"/>
      <x:c r="D70" s="27"/>
      <x:c r="E70" s="27"/>
    </x:row>
    <x:row r="71">
      <x:c r="A71" s="27"/>
      <x:c r="B71" s="27"/>
      <x:c r="C71" s="27"/>
      <x:c r="D71" s="27"/>
      <x:c r="E71" s="27"/>
    </x:row>
    <x:row r="72">
      <x:c r="A72" s="27"/>
      <x:c r="B72" s="27"/>
      <x:c r="C72" s="27"/>
      <x:c r="D72" s="27"/>
      <x:c r="E72" s="27"/>
    </x:row>
    <x:row r="73">
      <x:c r="A73" s="27"/>
      <x:c r="B73" s="27"/>
      <x:c r="C73" s="27"/>
      <x:c r="D73" s="27"/>
      <x:c r="E73" s="27"/>
    </x:row>
    <x:row r="74">
      <x:c r="A74" s="27"/>
      <x:c r="B74" s="27"/>
      <x:c r="C74" s="27"/>
      <x:c r="D74" s="27"/>
      <x:c r="E74" s="27"/>
    </x:row>
    <x:row r="75">
      <x:c r="A75" s="27"/>
      <x:c r="B75" s="27"/>
      <x:c r="C75" s="27"/>
      <x:c r="D75" s="27"/>
      <x:c r="E75" s="27"/>
    </x:row>
    <x:row r="76">
      <x:c r="A76" s="27"/>
      <x:c r="B76" s="27"/>
      <x:c r="C76" s="27"/>
      <x:c r="D76" s="27"/>
      <x:c r="E76" s="27"/>
    </x:row>
    <x:row r="77">
      <x:c r="A77" s="27"/>
      <x:c r="B77" s="27"/>
      <x:c r="C77" s="27"/>
      <x:c r="D77" s="27"/>
      <x:c r="E77" s="27"/>
    </x:row>
    <x:row r="78">
      <x:c r="A78" s="27"/>
      <x:c r="B78" s="27"/>
      <x:c r="C78" s="27"/>
      <x:c r="D78" s="27"/>
      <x:c r="E78" s="27"/>
    </x:row>
    <x:row r="79">
      <x:c r="A79" s="27"/>
      <x:c r="B79" s="27"/>
      <x:c r="C79" s="27"/>
      <x:c r="D79" s="27"/>
      <x:c r="E79" s="27"/>
    </x:row>
    <x:row r="80">
      <x:c r="A80" s="27"/>
      <x:c r="B80" s="27"/>
      <x:c r="C80" s="27"/>
      <x:c r="D80" s="27"/>
      <x:c r="E80" s="27"/>
    </x:row>
    <x:row r="81">
      <x:c r="A81" s="27"/>
      <x:c r="B81" s="27"/>
      <x:c r="C81" s="27"/>
      <x:c r="D81" s="27"/>
      <x:c r="E81" s="27"/>
    </x:row>
    <x:row r="82">
      <x:c r="A82" s="27"/>
      <x:c r="B82" s="27"/>
      <x:c r="C82" s="27"/>
      <x:c r="D82" s="27"/>
      <x:c r="E82" s="27"/>
    </x:row>
    <x:row r="83">
      <x:c r="A83" s="27"/>
      <x:c r="B83" s="27"/>
      <x:c r="C83" s="27"/>
      <x:c r="D83" s="27"/>
      <x:c r="E83" s="27"/>
    </x:row>
    <x:row r="84">
      <x:c r="A84" s="27"/>
      <x:c r="B84" s="27"/>
      <x:c r="C84" s="27"/>
      <x:c r="D84" s="27"/>
      <x:c r="E84" s="27"/>
    </x:row>
    <x:row r="85">
      <x:c r="A85" s="27"/>
      <x:c r="B85" s="27"/>
      <x:c r="C85" s="27"/>
      <x:c r="D85" s="27"/>
      <x:c r="E85" s="27"/>
    </x:row>
    <x:row r="86">
      <x:c r="A86" s="27"/>
      <x:c r="B86" s="27"/>
      <x:c r="C86" s="27"/>
      <x:c r="D86" s="27"/>
      <x:c r="E86" s="27"/>
    </x:row>
    <x:row r="87">
      <x:c r="A87" s="27"/>
      <x:c r="B87" s="27"/>
      <x:c r="C87" s="27"/>
      <x:c r="D87" s="27"/>
      <x:c r="E87" s="27"/>
    </x:row>
    <x:row r="88">
      <x:c r="A88" s="27"/>
      <x:c r="B88" s="27"/>
      <x:c r="C88" s="27"/>
      <x:c r="D88" s="27"/>
      <x:c r="E88" s="27"/>
    </x:row>
    <x:row r="89">
      <x:c r="A89" s="27"/>
      <x:c r="B89" s="27"/>
      <x:c r="C89" s="27"/>
      <x:c r="D89" s="27"/>
      <x:c r="E89" s="27"/>
    </x:row>
    <x:row r="90">
      <x:c r="A90" s="27"/>
      <x:c r="B90" s="27"/>
      <x:c r="C90" s="27"/>
      <x:c r="D90" s="27"/>
      <x:c r="E90" s="27"/>
    </x:row>
    <x:row r="91">
      <x:c r="A91" s="27"/>
      <x:c r="B91" s="27"/>
      <x:c r="C91" s="27"/>
      <x:c r="D91" s="27"/>
      <x:c r="E91" s="27"/>
    </x:row>
    <x:row r="92">
      <x:c r="A92" s="27"/>
      <x:c r="B92" s="27"/>
      <x:c r="C92" s="27"/>
      <x:c r="D92" s="27"/>
      <x:c r="E92" s="27"/>
    </x:row>
    <x:row r="93">
      <x:c r="A93" s="27"/>
      <x:c r="B93" s="27"/>
      <x:c r="C93" s="27"/>
      <x:c r="D93" s="27"/>
      <x:c r="E93" s="27"/>
    </x:row>
    <x:row r="94">
      <x:c r="A94" s="27"/>
      <x:c r="B94" s="27"/>
      <x:c r="C94" s="27"/>
      <x:c r="D94" s="27"/>
      <x:c r="E94" s="27"/>
    </x:row>
    <x:row r="95">
      <x:c r="A95" s="27"/>
      <x:c r="B95" s="27"/>
      <x:c r="C95" s="27"/>
      <x:c r="D95" s="27"/>
      <x:c r="E95" s="27"/>
    </x:row>
    <x:row r="96">
      <x:c r="A96" s="27"/>
      <x:c r="B96" s="27"/>
      <x:c r="C96" s="27"/>
      <x:c r="D96" s="27"/>
      <x:c r="E96" s="27"/>
    </x:row>
    <x:row r="97">
      <x:c r="A97" s="27"/>
      <x:c r="B97" s="27"/>
      <x:c r="C97" s="27"/>
      <x:c r="D97" s="27"/>
      <x:c r="E97" s="27"/>
    </x:row>
    <x:row r="98">
      <x:c r="A98" s="27"/>
      <x:c r="B98" s="27"/>
      <x:c r="C98" s="27"/>
      <x:c r="D98" s="27"/>
      <x:c r="E98" s="27"/>
    </x:row>
    <x:row r="99">
      <x:c r="A99" s="27"/>
      <x:c r="B99" s="27"/>
      <x:c r="C99" s="27"/>
      <x:c r="D99" s="27"/>
      <x:c r="E99" s="27"/>
    </x:row>
    <x:row r="100">
      <x:c r="A100" s="27"/>
      <x:c r="B100" s="27"/>
      <x:c r="C100" s="27"/>
      <x:c r="D100" s="27"/>
      <x:c r="E100" s="2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34" hidden="0" customWidth="1"/>
    <x:col min="3" max="3" width="14" hidden="0" customWidth="1"/>
    <x:col min="4" max="4" width="16" hidden="0" customWidth="1"/>
    <x:col min="5" max="5" width="14" hidden="0" customWidth="1"/>
    <x:col min="6" max="6" width="22" hidden="0" customWidth="1"/>
    <x:col min="7" max="7" width="72" hidden="0" customWidth="1"/>
    <x:col min="8" max="8" width="78" hidden="0" customWidth="1"/>
    <x:col min="9" max="9" width="62" hidden="0" customWidth="1"/>
    <x:col min="10" max="10" width="62" hidden="0" customWidth="1"/>
    <x:col min="11" max="11" width="18" hidden="0" customWidth="1"/>
    <x:col min="12" max="12" width="34" hidden="0" customWidth="1"/>
    <x:col min="13" max="13" width="18" hidden="0" customWidth="1"/>
    <x:col min="14" max="14" width="34" hidden="0" customWidth="1"/>
    <x:col min="15" max="15" width="28" hidden="0" customWidth="1"/>
    <x:col min="16" max="16" width="14" hidden="0" customWidth="1"/>
    <x:col min="17" max="17" width="22" hidden="0" customWidth="1"/>
    <x:col min="18" max="18" width="30" hidden="0" customWidth="1"/>
    <x:col min="19" max="19" width="110" hidden="0" customWidth="1"/>
    <x:col min="20" max="20" width="100" hidden="0" customWidth="1"/>
    <x:col min="21" max="21" width="100" hidden="0" customWidth="1"/>
    <x:col min="22" max="22" width="22" hidden="0" customWidth="1"/>
  </x:cols>
  <x:sheetData>
    <x:row r="1">
      <x:c r="A1" s="64" t="str">
        <x:v>#</x:v>
      </x:c>
      <x:c r="B1" s="64" t="str">
        <x:v>Content Key</x:v>
      </x:c>
      <x:c r="C1" s="64" t="str">
        <x:v>Planet A</x:v>
      </x:c>
      <x:c r="D1" s="64" t="str">
        <x:v>Aspect</x:v>
      </x:c>
      <x:c r="E1" s="64" t="str">
        <x:v>Planet B</x:v>
      </x:c>
      <x:c r="F1" s="64" t="str">
        <x:v>Pair Key</x:v>
      </x:c>
      <x:c r="G1" s="64" t="str">
        <x:v>Pair Meaning</x:v>
      </x:c>
      <x:c r="H1" s="64" t="str">
        <x:v>Aspect Behavior</x:v>
      </x:c>
      <x:c r="I1" s="64" t="str">
        <x:v>Applying Doctrine</x:v>
      </x:c>
      <x:c r="J1" s="64" t="str">
        <x:v>Separating Doctrine</x:v>
      </x:c>
      <x:c r="K1" s="64" t="str">
        <x:v>Planet A Sign</x:v>
      </x:c>
      <x:c r="L1" s="64" t="str">
        <x:v>Planet A Sign Mechanism</x:v>
      </x:c>
      <x:c r="M1" s="64" t="str">
        <x:v>Planet B Sign</x:v>
      </x:c>
      <x:c r="N1" s="64" t="str">
        <x:v>Planet B Sign Mechanism</x:v>
      </x:c>
      <x:c r="O1" s="64" t="str">
        <x:v>Calculated Date/Time</x:v>
      </x:c>
      <x:c r="P1" s="64" t="str">
        <x:v>Orb</x:v>
      </x:c>
      <x:c r="Q1" s="64" t="str">
        <x:v>Phase</x:v>
      </x:c>
      <x:c r="R1" s="64" t="str">
        <x:v>Motion / Ingress Flags</x:v>
      </x:c>
      <x:c r="S1" s="64" t="str">
        <x:v>Final Authoring Brief</x:v>
      </x:c>
      <x:c r="T1" s="64" t="str">
        <x:v>Generic Fallback Body</x:v>
      </x:c>
      <x:c r="U1" s="64" t="str">
        <x:v>Final Runtime Body</x:v>
      </x:c>
      <x:c r="V1" s="64" t="str">
        <x:v>Status</x:v>
      </x:c>
    </x:row>
    <x:row r="2">
      <x:c r="A2" s="27" t="n">
        <x:v>1</x:v>
      </x:c>
      <x:c r="B2" s="27" t="str">
        <x:v>sky.jupiter.conjunction.neptune</x:v>
      </x:c>
      <x:c r="C2" s="27" t="str">
        <x:v>jupiter</x:v>
      </x:c>
      <x:c r="D2" s="27" t="str">
        <x:v>conjunction</x:v>
      </x:c>
      <x:c r="E2" s="27" t="str">
        <x:v>neptune</x:v>
      </x:c>
      <x:c r="F2" s="27" t="str">
        <x:v>jupiter|neptune</x:v>
      </x:c>
      <x:c r="G2" s="27" t="str">
        <x:v>Expansion and belief meet vision, compassion, and ambiguity. The promise can grow faster than its boundaries, proof, or delivery plan.</x:v>
      </x:c>
      <x:c r="H2" s="27" t="str">
        <x:v>The two functions operate inside the same event. Benefit and complication arrive together, so separating one from the other is difficult.</x:v>
      </x:c>
      <x:c r="I2" s="27" t="str">
        <x:v>The two fuse and intensify as they close in.</x:v>
      </x:c>
      <x:c r="J2" s="27" t="str">
        <x:v>The fused theme peaks and discharges.</x:v>
      </x:c>
      <x:c r="K2" s="27" t="str">
        <x:v>[runtime sign]</x:v>
      </x:c>
      <x:c r="L2" s="27" t="str">
        <x:v>[lookup Body|Sign]</x:v>
      </x:c>
      <x:c r="M2" s="27" t="str">
        <x:v>[runtime sign]</x:v>
      </x:c>
      <x:c r="N2" s="27" t="str">
        <x:v>[lookup Body|Sign]</x:v>
      </x:c>
      <x:c r="O2" s="27" t="str">
        <x:v>[runtime local datetime]</x:v>
      </x:c>
      <x:c r="P2" s="27" t="str">
        <x:v>[runtime orb]</x:v>
      </x:c>
      <x:c r="Q2" s="27" t="str">
        <x:v>[applying / exact / separating]</x:v>
      </x:c>
      <x:c r="R2" s="27" t="str">
        <x:v>[runtime flags]</x:v>
      </x:c>
      <x:c r="S2" s="27" t="str">
        <x:v>Write one integrated collective Sky Calendar forecast for Jupiter in [Planet A sign] conjunction Neptune in [Planet B sign] at [calculated date/time]. Preserve this pair meaning: Expansion and belief meet vision, compassion, and ambiguity. The promise can grow faster than its boundaries, proof, or delivery plan. For the conjunction, apply this behavior: The two functions operate inside the same event. Benefit and complication arrive together, so separating one from the other is difficult. Use the Planet A sign to change how Jupiter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 s="27" t="str">
        <x:v>One offer is presented as a relief plan, moral cause, investment, and rescue mission all at once. Jupiter conjunct Neptune can make the promise feel bigger and more convincing before anyone has agreed on what the promise actually includes. Money and attention arrive quickly, but the scope stays loose enough for different people to hear different guarantees. Good intentions do not fix that mismatch. Pin down the deliverables, budget, and person responsible for the result before committing more resources to the vision.</x:v>
      </x:c>
      <x:c r="U2" s="27" t="str"/>
      <x:c r="V2" s="27" t="str">
        <x:v>READY FOR RUNTIME</x:v>
      </x:c>
    </x:row>
    <x:row r="3">
      <x:c r="A3" s="27" t="n">
        <x:v>2</x:v>
      </x:c>
      <x:c r="B3" s="27" t="str">
        <x:v>sky.jupiter.opposition.neptune</x:v>
      </x:c>
      <x:c r="C3" s="27" t="str">
        <x:v>jupiter</x:v>
      </x:c>
      <x:c r="D3" s="27" t="str">
        <x:v>opposition</x:v>
      </x:c>
      <x:c r="E3" s="27" t="str">
        <x:v>neptune</x:v>
      </x:c>
      <x:c r="F3" s="27" t="str">
        <x:v>jupiter|neptune</x:v>
      </x:c>
      <x:c r="G3" s="27" t="str">
        <x:v>Expansion and belief meet vision, compassion, and ambiguity. The promise can grow faster than its boundaries, proof, or delivery plan.</x:v>
      </x:c>
      <x:c r="H3" s="27" t="str">
        <x:v>Two needs or positions face each other directly through different people, roles, institutions, or requirements. The tradeoff has to become explicit.</x:v>
      </x:c>
      <x:c r="I3" s="27" t="str">
        <x:v>A confrontation builds; the other side comes fully into view.</x:v>
      </x:c>
      <x:c r="J3" s="27" t="str">
        <x:v>The standoff resolves into balance or a split.</x:v>
      </x:c>
      <x:c r="K3" s="27" t="str">
        <x:v>[runtime sign]</x:v>
      </x:c>
      <x:c r="L3" s="27" t="str">
        <x:v>[lookup Body|Sign]</x:v>
      </x:c>
      <x:c r="M3" s="27" t="str">
        <x:v>[runtime sign]</x:v>
      </x:c>
      <x:c r="N3" s="27" t="str">
        <x:v>[lookup Body|Sign]</x:v>
      </x:c>
      <x:c r="O3" s="27" t="str">
        <x:v>[runtime local datetime]</x:v>
      </x:c>
      <x:c r="P3" s="27" t="str">
        <x:v>[runtime orb]</x:v>
      </x:c>
      <x:c r="Q3" s="27" t="str">
        <x:v>[applying / exact / separating]</x:v>
      </x:c>
      <x:c r="R3" s="27" t="str">
        <x:v>[runtime flags]</x:v>
      </x:c>
      <x:c r="S3" s="27" t="str">
        <x:v>Write one integrated collective Sky Calendar forecast for Jupiter in [Planet A sign] opposition Neptune in [Planet B sign] at [calculated date/time]. Preserve this pair meaning: Expansion and belief meet vision, compassion, and ambiguity. The promise can grow faster than its boundaries, proof, or delivery plan. For the opposition, apply this behavior: Two needs or positions face each other directly through different people, roles, institutions, or requirements. The tradeoff has to become explicit. Use the Planet A sign to change how Jupiter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 s="27" t="str">
        <x:v>The institution points to the size of its relief effort while recipients and workers describe help that is late, uneven, or impossible to access. Jupiter opposite Neptune puts the public promise directly across from the experience of the people who were supposed to benefit from it. One side cites money raised and people reached; the other points to requests that disappeared inside those totals. Large numbers cannot answer a delivery problem. Pull the records and compare what was promised with what actually reached people.</x:v>
      </x:c>
      <x:c r="U3" s="27" t="str"/>
      <x:c r="V3" s="27" t="str">
        <x:v>READY FOR RUNTIME</x:v>
      </x:c>
    </x:row>
    <x:row r="4">
      <x:c r="A4" s="27" t="n">
        <x:v>3</x:v>
      </x:c>
      <x:c r="B4" s="27" t="str">
        <x:v>sky.jupiter.square.neptune</x:v>
      </x:c>
      <x:c r="C4" s="27" t="str">
        <x:v>jupiter</x:v>
      </x:c>
      <x:c r="D4" s="27" t="str">
        <x:v>square</x:v>
      </x:c>
      <x:c r="E4" s="27" t="str">
        <x:v>neptune</x:v>
      </x:c>
      <x:c r="F4" s="27" t="str">
        <x:v>jupiter|neptune</x:v>
      </x:c>
      <x:c r="G4" s="27" t="str">
        <x:v>Expansion and belief meet vision, compassion, and ambiguity. The promise can grow faster than its boundaries, proof, or delivery plan.</x:v>
      </x:c>
      <x:c r="H4" s="27" t="str">
        <x:v>Friction makes the problem difficult to keep absorbing. Pressure repeats or escalates until the plan, rule, behavior, or distribution of responsibility changes.</x:v>
      </x:c>
      <x:c r="I4" s="27" t="str">
        <x:v>Friction builds toward a forced adjustment.</x:v>
      </x:c>
      <x:c r="J4" s="27" t="str">
        <x:v>The crisis passes; what was restructured settles.</x:v>
      </x:c>
      <x:c r="K4" s="27" t="str">
        <x:v>[runtime sign]</x:v>
      </x:c>
      <x:c r="L4" s="27" t="str">
        <x:v>[lookup Body|Sign]</x:v>
      </x:c>
      <x:c r="M4" s="27" t="str">
        <x:v>[runtime sign]</x:v>
      </x:c>
      <x:c r="N4" s="27" t="str">
        <x:v>[lookup Body|Sign]</x:v>
      </x:c>
      <x:c r="O4" s="27" t="str">
        <x:v>[runtime local datetime]</x:v>
      </x:c>
      <x:c r="P4" s="27" t="str">
        <x:v>[runtime orb]</x:v>
      </x:c>
      <x:c r="Q4" s="27" t="str">
        <x:v>[applying / exact / separating]</x:v>
      </x:c>
      <x:c r="R4" s="27" t="str">
        <x:v>[runtime flags]</x:v>
      </x:c>
      <x:c r="S4" s="27" t="str">
        <x:v>Write one integrated collective Sky Calendar forecast for Jupiter in [Planet A sign] square Neptune in [Planet B sign] at [calculated date/time]. Preserve this pair meaning: Expansion and belief meet vision, compassion, and ambiguity. The promise can grow faster than its boundaries, proof, or delivery plan. For the square, apply this behavior: Friction makes the problem difficult to keep absorbing. Pressure repeats or escalates until the plan, rule, behavior, or distribution of responsibility changes. Use the Planet A sign to change how Jupiter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 s="27" t="str">
        <x:v>An inspiring campaign attracts donors and investors before anyone can explain the budget or measure the result. Jupiter square Neptune can make optimism fill every blank the plan has not answered yet, especially once basic questions start sounding like criticism of the cause itself. Cost, eligibility, delivery, and responsibility may still be open to several readings while support keeps growing. Excitement is not a substitute for structure. Require clear terms, timelines, and numbers before backing the next phase.</x:v>
      </x:c>
      <x:c r="U4" s="27" t="str"/>
      <x:c r="V4" s="27" t="str">
        <x:v>READY FOR RUNTIME</x:v>
      </x:c>
    </x:row>
    <x:row r="5">
      <x:c r="A5" s="27" t="n">
        <x:v>4</x:v>
      </x:c>
      <x:c r="B5" s="27" t="str">
        <x:v>sky.jupiter.trine.neptune</x:v>
      </x:c>
      <x:c r="C5" s="27" t="str">
        <x:v>jupiter</x:v>
      </x:c>
      <x:c r="D5" s="27" t="str">
        <x:v>trine</x:v>
      </x:c>
      <x:c r="E5" s="27" t="str">
        <x:v>neptune</x:v>
      </x:c>
      <x:c r="F5" s="27" t="str">
        <x:v>jupiter|neptune</x:v>
      </x:c>
      <x:c r="G5" s="27" t="str">
        <x:v>Expansion and belief meet vision, compassion, and ambiguity. The promise can grow faster than its boundaries, proof, or delivery plan.</x:v>
      </x:c>
      <x:c r="H5" s="27" t="str">
        <x:v>The two functions support each other easily. Momentum is available with less resistance, which helps progress but can let a weak assumption travel farther.</x:v>
      </x:c>
      <x:c r="I5" s="27" t="str">
        <x:v>Ease and support build and arrive on their own.</x:v>
      </x:c>
      <x:c r="J5" s="27" t="str">
        <x:v>The ease withdraws; the flow passes, used or not.</x:v>
      </x:c>
      <x:c r="K5" s="27" t="str">
        <x:v>[runtime sign]</x:v>
      </x:c>
      <x:c r="L5" s="27" t="str">
        <x:v>[lookup Body|Sign]</x:v>
      </x:c>
      <x:c r="M5" s="27" t="str">
        <x:v>[runtime sign]</x:v>
      </x:c>
      <x:c r="N5" s="27" t="str">
        <x:v>[lookup Body|Sign]</x:v>
      </x:c>
      <x:c r="O5" s="27" t="str">
        <x:v>[runtime local datetime]</x:v>
      </x:c>
      <x:c r="P5" s="27" t="str">
        <x:v>[runtime orb]</x:v>
      </x:c>
      <x:c r="Q5" s="27" t="str">
        <x:v>[applying / exact / separating]</x:v>
      </x:c>
      <x:c r="R5" s="27" t="str">
        <x:v>[runtime flags]</x:v>
      </x:c>
      <x:c r="S5" s="27" t="str">
        <x:v>Write one integrated collective Sky Calendar forecast for Jupiter in [Planet A sign] trine Neptune in [Planet B sign] at [calculated date/time]. Preserve this pair meaning: Expansion and belief meet vision, compassion, and ambiguity. The promise can grow faster than its boundaries, proof, or delivery plan. For the trine, apply this behavior: The two functions support each other easily. Momentum is available with less resistance, which helps progress but can let a weak assumption travel farther. Use the Planet A sign to change how Jupiter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 s="27" t="str">
        <x:v>A creative risk or ambitious idea that felt too intimidating last week suddenly seems possible enough to begin. Jupiter trine Neptune makes it easier to trust the vision and move before doubt drains the momentum. That can be exactly what a brave idea needs, but inspiration still has to survive a calendar, a budget, and the ordinary work of finishing it. Write down the core premise while it is clear. Then build the schedule and responsibilities that can carry it.</x:v>
      </x:c>
      <x:c r="U5" s="27" t="str"/>
      <x:c r="V5" s="27" t="str">
        <x:v>READY FOR RUNTIME</x:v>
      </x:c>
    </x:row>
    <x:row r="6">
      <x:c r="A6" s="27" t="n">
        <x:v>5</x:v>
      </x:c>
      <x:c r="B6" s="27" t="str">
        <x:v>sky.jupiter.sextile.neptune</x:v>
      </x:c>
      <x:c r="C6" s="27" t="str">
        <x:v>jupiter</x:v>
      </x:c>
      <x:c r="D6" s="27" t="str">
        <x:v>sextile</x:v>
      </x:c>
      <x:c r="E6" s="27" t="str">
        <x:v>neptune</x:v>
      </x:c>
      <x:c r="F6" s="27" t="str">
        <x:v>jupiter|neptune</x:v>
      </x:c>
      <x:c r="G6" s="27" t="str">
        <x:v>Expansion and belief meet vision, compassion, and ambiguity. The promise can grow faster than its boundaries, proof, or delivery plan.</x:v>
      </x:c>
      <x:c r="H6" s="27" t="str">
        <x:v>A workable opening appears between the two functions. The opportunity is useful but not automatic; someone still has to notice it and make the specific move.</x:v>
      </x:c>
      <x:c r="I6" s="27" t="str">
        <x:v>A supportive opening becomes available; offered, not automatic.</x:v>
      </x:c>
      <x:c r="J6" s="27" t="str">
        <x:v>The opening closes; unused, it passes.</x:v>
      </x:c>
      <x:c r="K6" s="27" t="str">
        <x:v>[runtime sign]</x:v>
      </x:c>
      <x:c r="L6" s="27" t="str">
        <x:v>[lookup Body|Sign]</x:v>
      </x:c>
      <x:c r="M6" s="27" t="str">
        <x:v>[runtime sign]</x:v>
      </x:c>
      <x:c r="N6" s="27" t="str">
        <x:v>[lookup Body|Sign]</x:v>
      </x:c>
      <x:c r="O6" s="27" t="str">
        <x:v>[runtime local datetime]</x:v>
      </x:c>
      <x:c r="P6" s="27" t="str">
        <x:v>[runtime orb]</x:v>
      </x:c>
      <x:c r="Q6" s="27" t="str">
        <x:v>[applying / exact / separating]</x:v>
      </x:c>
      <x:c r="R6" s="27" t="str">
        <x:v>[runtime flags]</x:v>
      </x:c>
      <x:c r="S6" s="27" t="str">
        <x:v>Write one integrated collective Sky Calendar forecast for Jupiter in [Planet A sign] sextile Neptune in [Planet B sign] at [calculated date/time]. Preserve this pair meaning: Expansion and belief meet vision, compassion, and ambiguity. The promise can grow faster than its boundaries, proof, or delivery plan. For the sextile, apply this behavior: A workable opening appears between the two functions. The opportunity is useful but not automatic; someone still has to notice it and make the specific move. Use the Planet A sign to change how Jupiter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 s="27" t="str">
        <x:v>A compassionate idea reaches the person or institution capable of funding a first practical response. Jupiter sextile Neptune can connect a larger vision with the money, audience, or support needed to give it form. A grant, shelter plan, relief payment, or public appeal works because the beneficiary and immediate use are clear. Hope becomes more credible when it has an address and a person responsible for delivery. Use the opening to fund one defined need instead of trying to solve everything at once.</x:v>
      </x:c>
      <x:c r="U6" s="27" t="str"/>
      <x:c r="V6" s="27" t="str">
        <x:v>READY FOR RUNTIME</x:v>
      </x:c>
    </x:row>
    <x:row r="7">
      <x:c r="A7" s="27" t="n">
        <x:v>6</x:v>
      </x:c>
      <x:c r="B7" s="27" t="str">
        <x:v>sky.jupiter.conjunction.pluto</x:v>
      </x:c>
      <x:c r="C7" s="27" t="str">
        <x:v>jupiter</x:v>
      </x:c>
      <x:c r="D7" s="27" t="str">
        <x:v>conjunction</x:v>
      </x:c>
      <x:c r="E7" s="27" t="str">
        <x:v>pluto</x:v>
      </x:c>
      <x:c r="F7" s="27" t="str">
        <x:v>jupiter|pluto</x:v>
      </x:c>
      <x:c r="G7" s="27" t="str">
        <x:v>Growth, money, and reach meet concentrated power. Expansion changes who controls access, ownership, leverage, or the final decision.</x:v>
      </x:c>
      <x:c r="H7" s="27" t="str">
        <x:v>The two functions operate inside the same event. Benefit and complication arrive together, so separating one from the other is difficult.</x:v>
      </x:c>
      <x:c r="I7" s="27" t="str">
        <x:v>The two fuse and intensify as they close in.</x:v>
      </x:c>
      <x:c r="J7" s="27" t="str">
        <x:v>The fused theme peaks and discharges.</x:v>
      </x:c>
      <x:c r="K7" s="27" t="str">
        <x:v>[runtime sign]</x:v>
      </x:c>
      <x:c r="L7" s="27" t="str">
        <x:v>[lookup Body|Sign]</x:v>
      </x:c>
      <x:c r="M7" s="27" t="str">
        <x:v>[runtime sign]</x:v>
      </x:c>
      <x:c r="N7" s="27" t="str">
        <x:v>[lookup Body|Sign]</x:v>
      </x:c>
      <x:c r="O7" s="27" t="str">
        <x:v>[runtime local datetime]</x:v>
      </x:c>
      <x:c r="P7" s="27" t="str">
        <x:v>[runtime orb]</x:v>
      </x:c>
      <x:c r="Q7" s="27" t="str">
        <x:v>[applying / exact / separating]</x:v>
      </x:c>
      <x:c r="R7" s="27" t="str">
        <x:v>[runtime flags]</x:v>
      </x:c>
      <x:c r="S7" s="27" t="str">
        <x:v>Write one integrated collective Sky Calendar forecast for Jupiter in [Planet A sign] conjunction Pluto in [Planet B sign] at [calculated date/time]. Preserve this pair meaning: Growth, money, and reach meet concentrated power. Expansion changes who controls access, ownership, leverage, or the final decision. For the conjunction, apply this behavior: The two functions operate inside the same event. Benefit and complication arrive together, so separating one from the other is difficult. Use the Planet A sign to change how Jupiter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 s="27" t="str">
        <x:v>A major acquisition puts more money, data, and decision-making power under one roof overnight. Jupiter conjunct Pluto can expand an institution at the same time it concentrates control over prices, access, or the choices available across an entire field. The deal may create new resources, but it also makes the alternatives outside the larger structure easier to see. Growth is not neutral when the same move decides who gets to participate. Read the new terms closely and identify who gained authority before assuming bigger means better.</x:v>
      </x:c>
      <x:c r="U7" s="27" t="str"/>
      <x:c r="V7" s="27" t="str">
        <x:v>READY FOR RUNTIME</x:v>
      </x:c>
    </x:row>
    <x:row r="8">
      <x:c r="A8" s="27" t="n">
        <x:v>7</x:v>
      </x:c>
      <x:c r="B8" s="27" t="str">
        <x:v>sky.jupiter.opposition.pluto</x:v>
      </x:c>
      <x:c r="C8" s="27" t="str">
        <x:v>jupiter</x:v>
      </x:c>
      <x:c r="D8" s="27" t="str">
        <x:v>opposition</x:v>
      </x:c>
      <x:c r="E8" s="27" t="str">
        <x:v>pluto</x:v>
      </x:c>
      <x:c r="F8" s="27" t="str">
        <x:v>jupiter|pluto</x:v>
      </x:c>
      <x:c r="G8" s="27" t="str">
        <x:v>Growth, money, and reach meet concentrated power. Expansion changes who controls access, ownership, leverage, or the final decision.</x:v>
      </x:c>
      <x:c r="H8" s="27" t="str">
        <x:v>Two needs or positions face each other directly through different people, roles, institutions, or requirements. The tradeoff has to become explicit.</x:v>
      </x:c>
      <x:c r="I8" s="27" t="str">
        <x:v>A confrontation builds; the other side comes fully into view.</x:v>
      </x:c>
      <x:c r="J8" s="27" t="str">
        <x:v>The standoff resolves into balance or a split.</x:v>
      </x:c>
      <x:c r="K8" s="27" t="str">
        <x:v>[runtime sign]</x:v>
      </x:c>
      <x:c r="L8" s="27" t="str">
        <x:v>[lookup Body|Sign]</x:v>
      </x:c>
      <x:c r="M8" s="27" t="str">
        <x:v>[runtime sign]</x:v>
      </x:c>
      <x:c r="N8" s="27" t="str">
        <x:v>[lookup Body|Sign]</x:v>
      </x:c>
      <x:c r="O8" s="27" t="str">
        <x:v>[runtime local datetime]</x:v>
      </x:c>
      <x:c r="P8" s="27" t="str">
        <x:v>[runtime orb]</x:v>
      </x:c>
      <x:c r="Q8" s="27" t="str">
        <x:v>[applying / exact / separating]</x:v>
      </x:c>
      <x:c r="R8" s="27" t="str">
        <x:v>[runtime flags]</x:v>
      </x:c>
      <x:c r="S8" s="27" t="str">
        <x:v>Write one integrated collective Sky Calendar forecast for Jupiter in [Planet A sign] opposition Pluto in [Planet B sign] at [calculated date/time]. Preserve this pair meaning: Growth, money, and reach meet concentrated power. Expansion changes who controls access, ownership, leverage, or the final decision. For the opposition, apply this behavior: Two needs or positions face each other directly through different people, roles, institutions, or requirements. The tradeoff has to become explicit. Use the Planet A sign to change how Jupiter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 s="27" t="str">
        <x:v>The institution promising broader opportunity faces the people documenting how the expansion narrowed their choices. Jupiter opposite Pluto makes the contradiction hard to smooth over with totals: investment may rise while ownership consolidates, prices climb, or access moves into fewer hands. One side can point to growth; the other can point to who now controls the door. Both facts matter. Compare the new reach with the new concentration of power before accepting the expansion as proof of progress.</x:v>
      </x:c>
      <x:c r="U8" s="27" t="str"/>
      <x:c r="V8" s="27" t="str">
        <x:v>READY FOR RUNTIME</x:v>
      </x:c>
    </x:row>
    <x:row r="9">
      <x:c r="A9" s="27" t="n">
        <x:v>8</x:v>
      </x:c>
      <x:c r="B9" s="27" t="str">
        <x:v>sky.jupiter.square.pluto</x:v>
      </x:c>
      <x:c r="C9" s="27" t="str">
        <x:v>jupiter</x:v>
      </x:c>
      <x:c r="D9" s="27" t="str">
        <x:v>square</x:v>
      </x:c>
      <x:c r="E9" s="27" t="str">
        <x:v>pluto</x:v>
      </x:c>
      <x:c r="F9" s="27" t="str">
        <x:v>jupiter|pluto</x:v>
      </x:c>
      <x:c r="G9" s="27" t="str">
        <x:v>Growth, money, and reach meet concentrated power. Expansion changes who controls access, ownership, leverage, or the final decision.</x:v>
      </x:c>
      <x:c r="H9" s="27" t="str">
        <x:v>Friction makes the problem difficult to keep absorbing. Pressure repeats or escalates until the plan, rule, behavior, or distribution of responsibility changes.</x:v>
      </x:c>
      <x:c r="I9" s="27" t="str">
        <x:v>Friction builds toward a forced adjustment.</x:v>
      </x:c>
      <x:c r="J9" s="27" t="str">
        <x:v>The crisis passes; what was restructured settles.</x:v>
      </x:c>
      <x:c r="K9" s="27" t="str">
        <x:v>[runtime sign]</x:v>
      </x:c>
      <x:c r="L9" s="27" t="str">
        <x:v>[lookup Body|Sign]</x:v>
      </x:c>
      <x:c r="M9" s="27" t="str">
        <x:v>[runtime sign]</x:v>
      </x:c>
      <x:c r="N9" s="27" t="str">
        <x:v>[lookup Body|Sign]</x:v>
      </x:c>
      <x:c r="O9" s="27" t="str">
        <x:v>[runtime local datetime]</x:v>
      </x:c>
      <x:c r="P9" s="27" t="str">
        <x:v>[runtime orb]</x:v>
      </x:c>
      <x:c r="Q9" s="27" t="str">
        <x:v>[applying / exact / separating]</x:v>
      </x:c>
      <x:c r="R9" s="27" t="str">
        <x:v>[runtime flags]</x:v>
      </x:c>
      <x:c r="S9" s="27" t="str">
        <x:v>Write one integrated collective Sky Calendar forecast for Jupiter in [Planet A sign] square Pluto in [Planet B sign] at [calculated date/time]. Preserve this pair meaning: Growth, money, and reach meet concentrated power. Expansion changes who controls access, ownership, leverage, or the final decision. For the square, apply this behavior: Friction makes the problem difficult to keep absorbing. Pressure repeats or escalates until the plan, rule, behavior, or distribution of responsibility changes. Use the Planet A sign to change how Jupiter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 s="27" t="str">
        <x:v>A celebrated expansion concentrates more money and influence inside the institutions already strong enough to set the terms. Jupiter square Pluto can turn each new win into another increase in bargaining power, making it harder for workers, competitors, or smaller participants to negotiate from the outside. The numbers may look impressive while the structure becomes less contestable. That is the pressure point. Track who lost access, leverage, or alternatives as the organization grew, not only how much the organization gained.</x:v>
      </x:c>
      <x:c r="U9" s="27" t="str"/>
      <x:c r="V9" s="27" t="str">
        <x:v>READY FOR RUNTIME</x:v>
      </x:c>
    </x:row>
    <x:row r="10">
      <x:c r="A10" s="27" t="n">
        <x:v>9</x:v>
      </x:c>
      <x:c r="B10" s="27" t="str">
        <x:v>sky.jupiter.trine.pluto</x:v>
      </x:c>
      <x:c r="C10" s="27" t="str">
        <x:v>jupiter</x:v>
      </x:c>
      <x:c r="D10" s="27" t="str">
        <x:v>trine</x:v>
      </x:c>
      <x:c r="E10" s="27" t="str">
        <x:v>pluto</x:v>
      </x:c>
      <x:c r="F10" s="27" t="str">
        <x:v>jupiter|pluto</x:v>
      </x:c>
      <x:c r="G10" s="27" t="str">
        <x:v>Growth, money, and reach meet concentrated power. Expansion changes who controls access, ownership, leverage, or the final decision.</x:v>
      </x:c>
      <x:c r="H10" s="27" t="str">
        <x:v>The two functions support each other easily. Momentum is available with less resistance, which helps progress but can let a weak assumption travel farther.</x:v>
      </x:c>
      <x:c r="I10" s="27" t="str">
        <x:v>Ease and support build and arrive on their own.</x:v>
      </x:c>
      <x:c r="J10" s="27" t="str">
        <x:v>The ease withdraws; the flow passes, used or not.</x:v>
      </x:c>
      <x:c r="K10" s="27" t="str">
        <x:v>[runtime sign]</x:v>
      </x:c>
      <x:c r="L10" s="27" t="str">
        <x:v>[lookup Body|Sign]</x:v>
      </x:c>
      <x:c r="M10" s="27" t="str">
        <x:v>[runtime sign]</x:v>
      </x:c>
      <x:c r="N10" s="27" t="str">
        <x:v>[lookup Body|Sign]</x:v>
      </x:c>
      <x:c r="O10" s="27" t="str">
        <x:v>[runtime local datetime]</x:v>
      </x:c>
      <x:c r="P10" s="27" t="str">
        <x:v>[runtime orb]</x:v>
      </x:c>
      <x:c r="Q10" s="27" t="str">
        <x:v>[applying / exact / separating]</x:v>
      </x:c>
      <x:c r="R10" s="27" t="str">
        <x:v>[runtime flags]</x:v>
      </x:c>
      <x:c r="S10" s="27" t="str">
        <x:v>Write one integrated collective Sky Calendar forecast for Jupiter in [Planet A sign] trine Pluto in [Planet B sign] at [calculated date/time]. Preserve this pair meaning: Growth, money, and reach meet concentrated power. Expansion changes who controls access, ownership, leverage, or the final decision. For the trine, apply this behavior: The two functions support each other easily. Momentum is available with less resistance, which helps progress but can let a weak assumption travel farther. Use the Planet A sign to change how Jupiter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 s="27" t="str">
        <x:v>Funding and final authority move toward the people a reform claims it was built to serve. Jupiter trine Pluto can help institutional backing reach the deeper structure of a problem, so budgets change, records open, or ownership shifts instead of stopping at symbolic inclusion. The result matters because the people named as beneficiaries can influence the outcome. This is where scale becomes useful. Put the transfer in contracts, budgets, and decision rights so the change survives the people currently willing to support it.</x:v>
      </x:c>
      <x:c r="U10" s="27" t="str"/>
      <x:c r="V10" s="27" t="str">
        <x:v>READY FOR RUNTIME</x:v>
      </x:c>
    </x:row>
    <x:row r="11">
      <x:c r="A11" s="27" t="n">
        <x:v>10</x:v>
      </x:c>
      <x:c r="B11" s="27" t="str">
        <x:v>sky.jupiter.sextile.pluto</x:v>
      </x:c>
      <x:c r="C11" s="27" t="str">
        <x:v>jupiter</x:v>
      </x:c>
      <x:c r="D11" s="27" t="str">
        <x:v>sextile</x:v>
      </x:c>
      <x:c r="E11" s="27" t="str">
        <x:v>pluto</x:v>
      </x:c>
      <x:c r="F11" s="27" t="str">
        <x:v>jupiter|pluto</x:v>
      </x:c>
      <x:c r="G11" s="27" t="str">
        <x:v>Growth, money, and reach meet concentrated power. Expansion changes who controls access, ownership, leverage, or the final decision.</x:v>
      </x:c>
      <x:c r="H11" s="27" t="str">
        <x:v>A workable opening appears between the two functions. The opportunity is useful but not automatic; someone still has to notice it and make the specific move.</x:v>
      </x:c>
      <x:c r="I11" s="27" t="str">
        <x:v>A supportive opening becomes available; offered, not automatic.</x:v>
      </x:c>
      <x:c r="J11" s="27" t="str">
        <x:v>The opening closes; unused, it passes.</x:v>
      </x:c>
      <x:c r="K11" s="27" t="str">
        <x:v>[runtime sign]</x:v>
      </x:c>
      <x:c r="L11" s="27" t="str">
        <x:v>[lookup Body|Sign]</x:v>
      </x:c>
      <x:c r="M11" s="27" t="str">
        <x:v>[runtime sign]</x:v>
      </x:c>
      <x:c r="N11" s="27" t="str">
        <x:v>[lookup Body|Sign]</x:v>
      </x:c>
      <x:c r="O11" s="27" t="str">
        <x:v>[runtime local datetime]</x:v>
      </x:c>
      <x:c r="P11" s="27" t="str">
        <x:v>[runtime orb]</x:v>
      </x:c>
      <x:c r="Q11" s="27" t="str">
        <x:v>[applying / exact / separating]</x:v>
      </x:c>
      <x:c r="R11" s="27" t="str">
        <x:v>[runtime flags]</x:v>
      </x:c>
      <x:c r="S11" s="27" t="str">
        <x:v>Write one integrated collective Sky Calendar forecast for Jupiter in [Planet A sign] sextile Pluto in [Planet B sign] at [calculated date/time]. Preserve this pair meaning: Growth, money, and reach meet concentrated power. Expansion changes who controls access, ownership, leverage, or the final decision. For the sextile, apply this behavior: A workable opening appears between the two functions. The opportunity is useful but not automatic; someone still has to notice it and make the specific move. Use the Planet A sign to change how Jupiter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 s="27" t="str">
        <x:v>A reform receives enough backing to change who controls a meaningful part of the system. Jupiter sextile Pluto can give a practical proposal the funding, legal authority, or public pressure needed to move power rather than simply announce better intentions. One opened record, changed approval process, or transfer of ownership can make the first result visible. Do not let the opportunity end at access to the meeting. Use it to change who has the final word.</x:v>
      </x:c>
      <x:c r="U11" s="27" t="str"/>
      <x:c r="V11" s="27" t="str">
        <x:v>READY FOR RUNTIME</x:v>
      </x:c>
    </x:row>
    <x:row r="12">
      <x:c r="A12" s="27" t="n">
        <x:v>11</x:v>
      </x:c>
      <x:c r="B12" s="27" t="str">
        <x:v>sky.jupiter.conjunction.saturn</x:v>
      </x:c>
      <x:c r="C12" s="27" t="str">
        <x:v>jupiter</x:v>
      </x:c>
      <x:c r="D12" s="27" t="str">
        <x:v>conjunction</x:v>
      </x:c>
      <x:c r="E12" s="27" t="str">
        <x:v>saturn</x:v>
      </x:c>
      <x:c r="F12" s="27" t="str">
        <x:v>jupiter|saturn</x:v>
      </x:c>
      <x:c r="G12" s="27" t="str">
        <x:v>Expansion meets limits, rules, and responsibility. Growth succeeds or stalls according to the structure, staffing, money, and authority supporting it.</x:v>
      </x:c>
      <x:c r="H12" s="27" t="str">
        <x:v>The two functions operate inside the same event. Benefit and complication arrive together, so separating one from the other is difficult.</x:v>
      </x:c>
      <x:c r="I12" s="27" t="str">
        <x:v>The two fuse and intensify as they close in.</x:v>
      </x:c>
      <x:c r="J12" s="27" t="str">
        <x:v>The fused theme peaks and discharges.</x:v>
      </x:c>
      <x:c r="K12" s="27" t="str">
        <x:v>[runtime sign]</x:v>
      </x:c>
      <x:c r="L12" s="27" t="str">
        <x:v>[lookup Body|Sign]</x:v>
      </x:c>
      <x:c r="M12" s="27" t="str">
        <x:v>[runtime sign]</x:v>
      </x:c>
      <x:c r="N12" s="27" t="str">
        <x:v>[lookup Body|Sign]</x:v>
      </x:c>
      <x:c r="O12" s="27" t="str">
        <x:v>[runtime local datetime]</x:v>
      </x:c>
      <x:c r="P12" s="27" t="str">
        <x:v>[runtime orb]</x:v>
      </x:c>
      <x:c r="Q12" s="27" t="str">
        <x:v>[applying / exact / separating]</x:v>
      </x:c>
      <x:c r="R12" s="27" t="str">
        <x:v>[runtime flags]</x:v>
      </x:c>
      <x:c r="S12" s="27" t="str">
        <x:v>Write one integrated collective Sky Calendar forecast for Jupiter in [Planet A sign] conjunction Saturn in [Planet B sign] at [calculated date/time]. Preserve this pair meaning: Expansion meets limits, rules, and responsibility. Growth succeeds or stalls according to the structure, staffing, money, and authority supporting it. For the conjunction, apply this behavior: The two functions operate inside the same event. Benefit and complication arrive together, so separating one from the other is difficult. Use the Planet A sign to change how Jupiter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 s="27" t="str">
        <x:v>A major milestone or expanding movement arrives with a heavier stack of rules. Jupiter conjunct Saturn can make the opportunity and the obligation part of the same package: more reach, more authority, and more people to serve also mean more compliance, oversight, and responsibility. The growth may be worth it, but the fine print is not separate from the opportunity. Read the duties with the same attention given to the opportunity itself. The staff, budget, and authority still have to match what the larger role now requires.</x:v>
      </x:c>
      <x:c r="U12" s="27" t="str"/>
      <x:c r="V12" s="27" t="str">
        <x:v>READY FOR RUNTIME</x:v>
      </x:c>
    </x:row>
    <x:row r="13">
      <x:c r="A13" s="27" t="n">
        <x:v>12</x:v>
      </x:c>
      <x:c r="B13" s="27" t="str">
        <x:v>sky.jupiter.opposition.saturn</x:v>
      </x:c>
      <x:c r="C13" s="27" t="str">
        <x:v>jupiter</x:v>
      </x:c>
      <x:c r="D13" s="27" t="str">
        <x:v>opposition</x:v>
      </x:c>
      <x:c r="E13" s="27" t="str">
        <x:v>saturn</x:v>
      </x:c>
      <x:c r="F13" s="27" t="str">
        <x:v>jupiter|saturn</x:v>
      </x:c>
      <x:c r="G13" s="27" t="str">
        <x:v>Expansion meets limits, rules, and responsibility. Growth succeeds or stalls according to the structure, staffing, money, and authority supporting it.</x:v>
      </x:c>
      <x:c r="H13" s="27" t="str">
        <x:v>Two needs or positions face each other directly through different people, roles, institutions, or requirements. The tradeoff has to become explicit.</x:v>
      </x:c>
      <x:c r="I13" s="27" t="str">
        <x:v>A confrontation builds; the other side comes fully into view.</x:v>
      </x:c>
      <x:c r="J13" s="27" t="str">
        <x:v>The standoff resolves into balance or a split.</x:v>
      </x:c>
      <x:c r="K13" s="27" t="str">
        <x:v>[runtime sign]</x:v>
      </x:c>
      <x:c r="L13" s="27" t="str">
        <x:v>[lookup Body|Sign]</x:v>
      </x:c>
      <x:c r="M13" s="27" t="str">
        <x:v>[runtime sign]</x:v>
      </x:c>
      <x:c r="N13" s="27" t="str">
        <x:v>[lookup Body|Sign]</x:v>
      </x:c>
      <x:c r="O13" s="27" t="str">
        <x:v>[runtime local datetime]</x:v>
      </x:c>
      <x:c r="P13" s="27" t="str">
        <x:v>[runtime orb]</x:v>
      </x:c>
      <x:c r="Q13" s="27" t="str">
        <x:v>[applying / exact / separating]</x:v>
      </x:c>
      <x:c r="R13" s="27" t="str">
        <x:v>[runtime flags]</x:v>
      </x:c>
      <x:c r="S13" s="27" t="str">
        <x:v>Write one integrated collective Sky Calendar forecast for Jupiter in [Planet A sign] opposition Saturn in [Planet B sign] at [calculated date/time]. Preserve this pair meaning: Expansion meets limits, rules, and responsibility. Growth succeeds or stalls according to the structure, staffing, money, and authority supporting it. For the opposition, apply this behavior: Two needs or positions face each other directly through different people, roles, institutions, or requirements. The tradeoff has to become explicit. Use the Planet A sign to change how Jupiter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 s="27" t="str">
        <x:v>An organization advertises sweeping opportunity while the fine print tells a much narrower story. Jupiter opposite Saturn puts the promise of more directly against the limits deciding who can actually receive it. Eligibility rules, debt, staffing, or legal obligations may exclude the same people the headline appears to invite. The contradiction is not solved by repeating the mission statement. Compare the public promise with the requirements people must meet in practice before calling the program accessible.</x:v>
      </x:c>
      <x:c r="U13" s="27" t="str"/>
      <x:c r="V13" s="27" t="str">
        <x:v>READY FOR RUNTIME</x:v>
      </x:c>
    </x:row>
    <x:row r="14">
      <x:c r="A14" s="27" t="n">
        <x:v>13</x:v>
      </x:c>
      <x:c r="B14" s="27" t="str">
        <x:v>sky.jupiter.square.saturn</x:v>
      </x:c>
      <x:c r="C14" s="27" t="str">
        <x:v>jupiter</x:v>
      </x:c>
      <x:c r="D14" s="27" t="str">
        <x:v>square</x:v>
      </x:c>
      <x:c r="E14" s="27" t="str">
        <x:v>saturn</x:v>
      </x:c>
      <x:c r="F14" s="27" t="str">
        <x:v>jupiter|saturn</x:v>
      </x:c>
      <x:c r="G14" s="27" t="str">
        <x:v>Expansion meets limits, rules, and responsibility. Growth succeeds or stalls according to the structure, staffing, money, and authority supporting it.</x:v>
      </x:c>
      <x:c r="H14" s="27" t="str">
        <x:v>Friction makes the problem difficult to keep absorbing. Pressure repeats or escalates until the plan, rule, behavior, or distribution of responsibility changes.</x:v>
      </x:c>
      <x:c r="I14" s="27" t="str">
        <x:v>Friction builds toward a forced adjustment.</x:v>
      </x:c>
      <x:c r="J14" s="27" t="str">
        <x:v>The crisis passes; what was restructured settles.</x:v>
      </x:c>
      <x:c r="K14" s="27" t="str">
        <x:v>[runtime sign]</x:v>
      </x:c>
      <x:c r="L14" s="27" t="str">
        <x:v>[lookup Body|Sign]</x:v>
      </x:c>
      <x:c r="M14" s="27" t="str">
        <x:v>[runtime sign]</x:v>
      </x:c>
      <x:c r="N14" s="27" t="str">
        <x:v>[lookup Body|Sign]</x:v>
      </x:c>
      <x:c r="O14" s="27" t="str">
        <x:v>[runtime local datetime]</x:v>
      </x:c>
      <x:c r="P14" s="27" t="str">
        <x:v>[runtime orb]</x:v>
      </x:c>
      <x:c r="Q14" s="27" t="str">
        <x:v>[applying / exact / separating]</x:v>
      </x:c>
      <x:c r="R14" s="27" t="str">
        <x:v>[runtime flags]</x:v>
      </x:c>
      <x:c r="S14" s="27" t="str">
        <x:v>Write one integrated collective Sky Calendar forecast for Jupiter in [Planet A sign] square Saturn in [Planet B sign] at [calculated date/time]. Preserve this pair meaning: Expansion meets limits, rules, and responsibility. Growth succeeds or stalls according to the structure, staffing, money, and authority supporting it. For the square, apply this behavior: Friction makes the problem difficult to keep absorbing. Pressure repeats or escalates until the plan, rule, behavior, or distribution of responsibility changes. Use the Planet A sign to change how Jupiter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 s="27" t="str">
        <x:v>A major expansion is announced before the institution resolves the debts, rules, or staffing limits already slowing the work. Jupiter square Saturn can make the desire to grow collide with the structure that has to support every new promise. More locations, users, or responsibilities do not fix an old bottleneck; they usually make it more expensive. The deadline is not proof that the organization can carry another layer. Resolve the limit that keeps repeating before adding more volume to the system.</x:v>
      </x:c>
      <x:c r="U14" s="27" t="str"/>
      <x:c r="V14" s="27" t="str">
        <x:v>READY FOR RUNTIME</x:v>
      </x:c>
    </x:row>
    <x:row r="15">
      <x:c r="A15" s="27" t="n">
        <x:v>14</x:v>
      </x:c>
      <x:c r="B15" s="27" t="str">
        <x:v>sky.jupiter.trine.saturn</x:v>
      </x:c>
      <x:c r="C15" s="27" t="str">
        <x:v>jupiter</x:v>
      </x:c>
      <x:c r="D15" s="27" t="str">
        <x:v>trine</x:v>
      </x:c>
      <x:c r="E15" s="27" t="str">
        <x:v>saturn</x:v>
      </x:c>
      <x:c r="F15" s="27" t="str">
        <x:v>jupiter|saturn</x:v>
      </x:c>
      <x:c r="G15" s="27" t="str">
        <x:v>Expansion meets limits, rules, and responsibility. Growth succeeds or stalls according to the structure, staffing, money, and authority supporting it.</x:v>
      </x:c>
      <x:c r="H15" s="27" t="str">
        <x:v>The two functions support each other easily. Momentum is available with less resistance, which helps progress but can let a weak assumption travel farther.</x:v>
      </x:c>
      <x:c r="I15" s="27" t="str">
        <x:v>Ease and support build and arrive on their own.</x:v>
      </x:c>
      <x:c r="J15" s="27" t="str">
        <x:v>The ease withdraws; the flow passes, used or not.</x:v>
      </x:c>
      <x:c r="K15" s="27" t="str">
        <x:v>[runtime sign]</x:v>
      </x:c>
      <x:c r="L15" s="27" t="str">
        <x:v>[lookup Body|Sign]</x:v>
      </x:c>
      <x:c r="M15" s="27" t="str">
        <x:v>[runtime sign]</x:v>
      </x:c>
      <x:c r="N15" s="27" t="str">
        <x:v>[lookup Body|Sign]</x:v>
      </x:c>
      <x:c r="O15" s="27" t="str">
        <x:v>[runtime local datetime]</x:v>
      </x:c>
      <x:c r="P15" s="27" t="str">
        <x:v>[runtime orb]</x:v>
      </x:c>
      <x:c r="Q15" s="27" t="str">
        <x:v>[applying / exact / separating]</x:v>
      </x:c>
      <x:c r="R15" s="27" t="str">
        <x:v>[runtime flags]</x:v>
      </x:c>
      <x:c r="S15" s="27" t="str">
        <x:v>Write one integrated collective Sky Calendar forecast for Jupiter in [Planet A sign] trine Saturn in [Planet B sign] at [calculated date/time]. Preserve this pair meaning: Expansion meets limits, rules, and responsibility. Growth succeeds or stalls according to the structure, staffing, money, and authority supporting it. For the trine, apply this behavior: The two functions support each other easily. Momentum is available with less resistance, which helps progress but can let a weak assumption travel farther. Use the Planet A sign to change how Jupiter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 s="27" t="str">
        <x:v>The grant covers staff and operating costs, giving a new program a life beyond the launch announcement. Jupiter trine Saturn can make growth easier to sustain because the opportunity arrives with enough structure to support it. Hiring, schedules, reporting, and long-term funding are what keep the idea from disappearing after the first wave of attention. Use the support to build those ordinary systems now. A program lasts because somebody planned for month six as carefully as opening day.</x:v>
      </x:c>
      <x:c r="U15" s="27" t="str"/>
      <x:c r="V15" s="27" t="str">
        <x:v>READY FOR RUNTIME</x:v>
      </x:c>
    </x:row>
    <x:row r="16">
      <x:c r="A16" s="27" t="n">
        <x:v>15</x:v>
      </x:c>
      <x:c r="B16" s="27" t="str">
        <x:v>sky.jupiter.sextile.saturn</x:v>
      </x:c>
      <x:c r="C16" s="27" t="str">
        <x:v>jupiter</x:v>
      </x:c>
      <x:c r="D16" s="27" t="str">
        <x:v>sextile</x:v>
      </x:c>
      <x:c r="E16" s="27" t="str">
        <x:v>saturn</x:v>
      </x:c>
      <x:c r="F16" s="27" t="str">
        <x:v>jupiter|saturn</x:v>
      </x:c>
      <x:c r="G16" s="27" t="str">
        <x:v>Expansion meets limits, rules, and responsibility. Growth succeeds or stalls according to the structure, staffing, money, and authority supporting it.</x:v>
      </x:c>
      <x:c r="H16" s="27" t="str">
        <x:v>A workable opening appears between the two functions. The opportunity is useful but not automatic; someone still has to notice it and make the specific move.</x:v>
      </x:c>
      <x:c r="I16" s="27" t="str">
        <x:v>A supportive opening becomes available; offered, not automatic.</x:v>
      </x:c>
      <x:c r="J16" s="27" t="str">
        <x:v>The opening closes; unused, it passes.</x:v>
      </x:c>
      <x:c r="K16" s="27" t="str">
        <x:v>[runtime sign]</x:v>
      </x:c>
      <x:c r="L16" s="27" t="str">
        <x:v>[lookup Body|Sign]</x:v>
      </x:c>
      <x:c r="M16" s="27" t="str">
        <x:v>[runtime sign]</x:v>
      </x:c>
      <x:c r="N16" s="27" t="str">
        <x:v>[lookup Body|Sign]</x:v>
      </x:c>
      <x:c r="O16" s="27" t="str">
        <x:v>[runtime local datetime]</x:v>
      </x:c>
      <x:c r="P16" s="27" t="str">
        <x:v>[runtime orb]</x:v>
      </x:c>
      <x:c r="Q16" s="27" t="str">
        <x:v>[applying / exact / separating]</x:v>
      </x:c>
      <x:c r="R16" s="27" t="str">
        <x:v>[runtime flags]</x:v>
      </x:c>
      <x:c r="S16" s="27" t="str">
        <x:v>Write one integrated collective Sky Calendar forecast for Jupiter in [Planet A sign] sextile Saturn in [Planet B sign] at [calculated date/time]. Preserve this pair meaning: Expansion meets limits, rules, and responsibility. Growth succeeds or stalls according to the structure, staffing, money, and authority supporting it. For the sextile, apply this behavior: A workable opening appears between the two functions. The opportunity is useful but not automatic; someone still has to notice it and make the specific move. Use the Planet A sign to change how Jupiter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 s="27" t="str">
        <x:v>A promising program receives conditional backing that can turn it into something lasting. Jupiter sextile Saturn gives the expansion a workable route through the rules: revise the budget, meet the reporting requirement, narrow the scope, or secure the person responsible for delivery. The opportunity comes with proof requirements because the structure has to carry what is being promised. Treat those conditions as design information. Meet the requirement that matters and leave the parts that do not need to grow alone.</x:v>
      </x:c>
      <x:c r="U16" s="27" t="str"/>
      <x:c r="V16" s="27" t="str">
        <x:v>READY FOR RUNTIME</x:v>
      </x:c>
    </x:row>
    <x:row r="17">
      <x:c r="A17" s="27" t="n">
        <x:v>16</x:v>
      </x:c>
      <x:c r="B17" s="27" t="str">
        <x:v>sky.jupiter.conjunction.uranus</x:v>
      </x:c>
      <x:c r="C17" s="27" t="str">
        <x:v>jupiter</x:v>
      </x:c>
      <x:c r="D17" s="27" t="str">
        <x:v>conjunction</x:v>
      </x:c>
      <x:c r="E17" s="27" t="str">
        <x:v>uranus</x:v>
      </x:c>
      <x:c r="F17" s="27" t="str">
        <x:v>jupiter|uranus</x:v>
      </x:c>
      <x:c r="G17" s="27" t="str">
        <x:v>Scale and opportunity meet disruption and innovation. A sudden opening can widen access or move faster than the systems meant to support it.</x:v>
      </x:c>
      <x:c r="H17" s="27" t="str">
        <x:v>The two functions operate inside the same event. Benefit and complication arrive together, so separating one from the other is difficult.</x:v>
      </x:c>
      <x:c r="I17" s="27" t="str">
        <x:v>The two fuse and intensify as they close in.</x:v>
      </x:c>
      <x:c r="J17" s="27" t="str">
        <x:v>The fused theme peaks and discharges.</x:v>
      </x:c>
      <x:c r="K17" s="27" t="str">
        <x:v>[runtime sign]</x:v>
      </x:c>
      <x:c r="L17" s="27" t="str">
        <x:v>[lookup Body|Sign]</x:v>
      </x:c>
      <x:c r="M17" s="27" t="str">
        <x:v>[runtime sign]</x:v>
      </x:c>
      <x:c r="N17" s="27" t="str">
        <x:v>[lookup Body|Sign]</x:v>
      </x:c>
      <x:c r="O17" s="27" t="str">
        <x:v>[runtime local datetime]</x:v>
      </x:c>
      <x:c r="P17" s="27" t="str">
        <x:v>[runtime orb]</x:v>
      </x:c>
      <x:c r="Q17" s="27" t="str">
        <x:v>[applying / exact / separating]</x:v>
      </x:c>
      <x:c r="R17" s="27" t="str">
        <x:v>[runtime flags]</x:v>
      </x:c>
      <x:c r="S17" s="27" t="str">
        <x:v>Write one integrated collective Sky Calendar forecast for Jupiter in [Planet A sign] conjunction Uranus in [Planet B sign] at [calculated date/time]. Preserve this pair meaning: Scale and opportunity meet disruption and innovation. A sudden opening can widen access or move faster than the systems meant to support it. For the conjunction, apply this behavior: The two functions operate inside the same event. Benefit and complication arrive together, so separating one from the other is difficult. Use the Planet A sign to change how Jupiter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 s="27" t="str">
        <x:v>A sudden shift in pricing, technology, or markets opens a much larger opportunity than anyone expected. Jupiter conjunct Uranus can make the breakthrough and the rush to expand happen almost at the same time, which is exciting right up until supply, staffing, or regulation falls behind. Early access can feel like proof that the new model has no downside. It does not. Move fast enough to use the opening, but keep a backup for the people who will be stranded if the first version fails.</x:v>
      </x:c>
      <x:c r="U17" s="27" t="str"/>
      <x:c r="V17" s="27" t="str">
        <x:v>READY FOR RUNTIME</x:v>
      </x:c>
    </x:row>
    <x:row r="18">
      <x:c r="A18" s="27" t="n">
        <x:v>17</x:v>
      </x:c>
      <x:c r="B18" s="27" t="str">
        <x:v>sky.jupiter.opposition.uranus</x:v>
      </x:c>
      <x:c r="C18" s="27" t="str">
        <x:v>jupiter</x:v>
      </x:c>
      <x:c r="D18" s="27" t="str">
        <x:v>opposition</x:v>
      </x:c>
      <x:c r="E18" s="27" t="str">
        <x:v>uranus</x:v>
      </x:c>
      <x:c r="F18" s="27" t="str">
        <x:v>jupiter|uranus</x:v>
      </x:c>
      <x:c r="G18" s="27" t="str">
        <x:v>Scale and opportunity meet disruption and innovation. A sudden opening can widen access or move faster than the systems meant to support it.</x:v>
      </x:c>
      <x:c r="H18" s="27" t="str">
        <x:v>Two needs or positions face each other directly through different people, roles, institutions, or requirements. The tradeoff has to become explicit.</x:v>
      </x:c>
      <x:c r="I18" s="27" t="str">
        <x:v>A confrontation builds; the other side comes fully into view.</x:v>
      </x:c>
      <x:c r="J18" s="27" t="str">
        <x:v>The standoff resolves into balance or a split.</x:v>
      </x:c>
      <x:c r="K18" s="27" t="str">
        <x:v>[runtime sign]</x:v>
      </x:c>
      <x:c r="L18" s="27" t="str">
        <x:v>[lookup Body|Sign]</x:v>
      </x:c>
      <x:c r="M18" s="27" t="str">
        <x:v>[runtime sign]</x:v>
      </x:c>
      <x:c r="N18" s="27" t="str">
        <x:v>[lookup Body|Sign]</x:v>
      </x:c>
      <x:c r="O18" s="27" t="str">
        <x:v>[runtime local datetime]</x:v>
      </x:c>
      <x:c r="P18" s="27" t="str">
        <x:v>[runtime orb]</x:v>
      </x:c>
      <x:c r="Q18" s="27" t="str">
        <x:v>[applying / exact / separating]</x:v>
      </x:c>
      <x:c r="R18" s="27" t="str">
        <x:v>[runtime flags]</x:v>
      </x:c>
      <x:c r="S18" s="27" t="str">
        <x:v>Write one integrated collective Sky Calendar forecast for Jupiter in [Planet A sign] opposition Uranus in [Planet B sign] at [calculated date/time]. Preserve this pair meaning: Scale and opportunity meet disruption and innovation. A sudden opening can widen access or move faster than the systems meant to support it. For the opposition, apply this behavior: Two needs or positions face each other directly through different people, roles, institutions, or requirements. The tradeoff has to become explicit. Use the Planet A sign to change how Jupiter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 s="27" t="str">
        <x:v>The people celebrating rapid innovation face the communities dealing with its cost. Jupiter opposite Uranus can put the promise of a better future directly across from higher prices, displacement, unstable work, or services that no longer fit the people who depended on the older system. Both sides may be describing the same change accurately. The question is who gets the benefit first and who is expected to adjust. Count the disruption as part of the result before expanding the model again.</x:v>
      </x:c>
      <x:c r="U18" s="27" t="str"/>
      <x:c r="V18" s="27" t="str">
        <x:v>READY FOR RUNTIME</x:v>
      </x:c>
    </x:row>
    <x:row r="19">
      <x:c r="A19" s="27" t="n">
        <x:v>18</x:v>
      </x:c>
      <x:c r="B19" s="27" t="str">
        <x:v>sky.jupiter.square.uranus</x:v>
      </x:c>
      <x:c r="C19" s="27" t="str">
        <x:v>jupiter</x:v>
      </x:c>
      <x:c r="D19" s="27" t="str">
        <x:v>square</x:v>
      </x:c>
      <x:c r="E19" s="27" t="str">
        <x:v>uranus</x:v>
      </x:c>
      <x:c r="F19" s="27" t="str">
        <x:v>jupiter|uranus</x:v>
      </x:c>
      <x:c r="G19" s="27" t="str">
        <x:v>Scale and opportunity meet disruption and innovation. A sudden opening can widen access or move faster than the systems meant to support it.</x:v>
      </x:c>
      <x:c r="H19" s="27" t="str">
        <x:v>Friction makes the problem difficult to keep absorbing. Pressure repeats or escalates until the plan, rule, behavior, or distribution of responsibility changes.</x:v>
      </x:c>
      <x:c r="I19" s="27" t="str">
        <x:v>Friction builds toward a forced adjustment.</x:v>
      </x:c>
      <x:c r="J19" s="27" t="str">
        <x:v>The crisis passes; what was restructured settles.</x:v>
      </x:c>
      <x:c r="K19" s="27" t="str">
        <x:v>[runtime sign]</x:v>
      </x:c>
      <x:c r="L19" s="27" t="str">
        <x:v>[lookup Body|Sign]</x:v>
      </x:c>
      <x:c r="M19" s="27" t="str">
        <x:v>[runtime sign]</x:v>
      </x:c>
      <x:c r="N19" s="27" t="str">
        <x:v>[lookup Body|Sign]</x:v>
      </x:c>
      <x:c r="O19" s="27" t="str">
        <x:v>[runtime local datetime]</x:v>
      </x:c>
      <x:c r="P19" s="27" t="str">
        <x:v>[runtime orb]</x:v>
      </x:c>
      <x:c r="Q19" s="27" t="str">
        <x:v>[applying / exact / separating]</x:v>
      </x:c>
      <x:c r="R19" s="27" t="str">
        <x:v>[runtime flags]</x:v>
      </x:c>
      <x:c r="S19" s="27" t="str">
        <x:v>Write one integrated collective Sky Calendar forecast for Jupiter in [Planet A sign] square Uranus in [Planet B sign] at [calculated date/time]. Preserve this pair meaning: Scale and opportunity meet disruption and innovation. A sudden opening can widen access or move faster than the systems meant to support it. For the square, apply this behavior: Friction makes the problem difficult to keep absorbing. Pressure repeats or escalates until the plan, rule, behavior, or distribution of responsibility changes. Use the Planet A sign to change how Jupiter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 s="27" t="str">
        <x:v>A popular new market sends prices and demand moving faster than housing, staffing, supply, or regulation can follow. Jupiter square Uranus can make every breakthrough create a second problem the existing structure was not built to absorb. Early users gain options while everyone arriving later meets shortages, new fees, or rules written after the rush began. Growth does not erase instability; it can amplify it. Slow the next expansion long enough to fix the shortage everyone is already paying for.</x:v>
      </x:c>
      <x:c r="U19" s="27" t="str"/>
      <x:c r="V19" s="27" t="str">
        <x:v>READY FOR RUNTIME</x:v>
      </x:c>
    </x:row>
    <x:row r="20">
      <x:c r="A20" s="27" t="n">
        <x:v>19</x:v>
      </x:c>
      <x:c r="B20" s="27" t="str">
        <x:v>sky.jupiter.trine.uranus</x:v>
      </x:c>
      <x:c r="C20" s="27" t="str">
        <x:v>jupiter</x:v>
      </x:c>
      <x:c r="D20" s="27" t="str">
        <x:v>trine</x:v>
      </x:c>
      <x:c r="E20" s="27" t="str">
        <x:v>uranus</x:v>
      </x:c>
      <x:c r="F20" s="27" t="str">
        <x:v>jupiter|uranus</x:v>
      </x:c>
      <x:c r="G20" s="27" t="str">
        <x:v>Scale and opportunity meet disruption and innovation. A sudden opening can widen access or move faster than the systems meant to support it.</x:v>
      </x:c>
      <x:c r="H20" s="27" t="str">
        <x:v>The two functions support each other easily. Momentum is available with less resistance, which helps progress but can let a weak assumption travel farther.</x:v>
      </x:c>
      <x:c r="I20" s="27" t="str">
        <x:v>Ease and support build and arrive on their own.</x:v>
      </x:c>
      <x:c r="J20" s="27" t="str">
        <x:v>The ease withdraws; the flow passes, used or not.</x:v>
      </x:c>
      <x:c r="K20" s="27" t="str">
        <x:v>[runtime sign]</x:v>
      </x:c>
      <x:c r="L20" s="27" t="str">
        <x:v>[lookup Body|Sign]</x:v>
      </x:c>
      <x:c r="M20" s="27" t="str">
        <x:v>[runtime sign]</x:v>
      </x:c>
      <x:c r="N20" s="27" t="str">
        <x:v>[lookup Body|Sign]</x:v>
      </x:c>
      <x:c r="O20" s="27" t="str">
        <x:v>[runtime local datetime]</x:v>
      </x:c>
      <x:c r="P20" s="27" t="str">
        <x:v>[runtime orb]</x:v>
      </x:c>
      <x:c r="Q20" s="27" t="str">
        <x:v>[applying / exact / separating]</x:v>
      </x:c>
      <x:c r="R20" s="27" t="str">
        <x:v>[runtime flags]</x:v>
      </x:c>
      <x:c r="S20" s="27" t="str">
        <x:v>Write one integrated collective Sky Calendar forecast for Jupiter in [Planet A sign] trine Uranus in [Planet B sign] at [calculated date/time]. Preserve this pair meaning: Scale and opportunity meet disruption and innovation. A sudden opening can widen access or move faster than the systems meant to support it. For the trine, apply this behavior: The two functions support each other easily. Momentum is available with less resistance, which helps progress but can let a weak assumption travel farther. Use the Planet A sign to change how Jupiter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 s="27" t="str">
        <x:v>A new model expands access faster than the older system ever managed. Jupiter trine Uranus can help innovation scale without forcing every improvement through the gatekeepers that kept participation narrow in the first place. Applications move, prices fall, services reach new areas, or people gain access that once depended on location or status. This is useful disruption because the result is visible in who can participate. Protect the route before success gives someone a reason to close it again.</x:v>
      </x:c>
      <x:c r="U20" s="27" t="str"/>
      <x:c r="V20" s="27" t="str">
        <x:v>READY FOR RUNTIME</x:v>
      </x:c>
    </x:row>
    <x:row r="21">
      <x:c r="A21" s="27" t="n">
        <x:v>20</x:v>
      </x:c>
      <x:c r="B21" s="27" t="str">
        <x:v>sky.jupiter.sextile.uranus</x:v>
      </x:c>
      <x:c r="C21" s="27" t="str">
        <x:v>jupiter</x:v>
      </x:c>
      <x:c r="D21" s="27" t="str">
        <x:v>sextile</x:v>
      </x:c>
      <x:c r="E21" s="27" t="str">
        <x:v>uranus</x:v>
      </x:c>
      <x:c r="F21" s="27" t="str">
        <x:v>jupiter|uranus</x:v>
      </x:c>
      <x:c r="G21" s="27" t="str">
        <x:v>Scale and opportunity meet disruption and innovation. A sudden opening can widen access or move faster than the systems meant to support it.</x:v>
      </x:c>
      <x:c r="H21" s="27" t="str">
        <x:v>A workable opening appears between the two functions. The opportunity is useful but not automatic; someone still has to notice it and make the specific move.</x:v>
      </x:c>
      <x:c r="I21" s="27" t="str">
        <x:v>A supportive opening becomes available; offered, not automatic.</x:v>
      </x:c>
      <x:c r="J21" s="27" t="str">
        <x:v>The opening closes; unused, it passes.</x:v>
      </x:c>
      <x:c r="K21" s="27" t="str">
        <x:v>[runtime sign]</x:v>
      </x:c>
      <x:c r="L21" s="27" t="str">
        <x:v>[lookup Body|Sign]</x:v>
      </x:c>
      <x:c r="M21" s="27" t="str">
        <x:v>[runtime sign]</x:v>
      </x:c>
      <x:c r="N21" s="27" t="str">
        <x:v>[lookup Body|Sign]</x:v>
      </x:c>
      <x:c r="O21" s="27" t="str">
        <x:v>[runtime local datetime]</x:v>
      </x:c>
      <x:c r="P21" s="27" t="str">
        <x:v>[runtime orb]</x:v>
      </x:c>
      <x:c r="Q21" s="27" t="str">
        <x:v>[applying / exact / separating]</x:v>
      </x:c>
      <x:c r="R21" s="27" t="str">
        <x:v>[runtime flags]</x:v>
      </x:c>
      <x:c r="S21" s="27" t="str">
        <x:v>Write one integrated collective Sky Calendar forecast for Jupiter in [Planet A sign] sextile Uranus in [Planet B sign] at [calculated date/time]. Preserve this pair meaning: Scale and opportunity meet disruption and innovation. A sudden opening can widen access or move faster than the systems meant to support it. For the sextile, apply this behavior: A workable opening appears between the two functions. The opportunity is useful but not automatic; someone still has to notice it and make the specific move. Use the Planet A sign to change how Jupiter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 s="27" t="str">
        <x:v>A revised rule or technology update lowers a barrier that kept people out. Jupiter sextile Uranus can turn one practical change into broader access without requiring the entire system to be rebuilt first. A new distribution route, approval process, or platform feature may be enough to bring a neglected group into the program. The opening only matters if someone actually uses it. Put the new route into practice now and measure who gets through the door that was previously closed.</x:v>
      </x:c>
      <x:c r="U21" s="27" t="str"/>
      <x:c r="V21" s="27" t="str">
        <x:v>READY FOR RUNTIME</x:v>
      </x:c>
    </x:row>
    <x:row r="22">
      <x:c r="A22" s="27" t="n">
        <x:v>21</x:v>
      </x:c>
      <x:c r="B22" s="27" t="str">
        <x:v>sky.mars.conjunction.jupiter</x:v>
      </x:c>
      <x:c r="C22" s="27" t="str">
        <x:v>mars</x:v>
      </x:c>
      <x:c r="D22" s="27" t="str">
        <x:v>conjunction</x:v>
      </x:c>
      <x:c r="E22" s="27" t="str">
        <x:v>jupiter</x:v>
      </x:c>
      <x:c r="F22" s="27" t="str">
        <x:v>mars|jupiter</x:v>
      </x:c>
      <x:c r="G22" s="27" t="str">
        <x:v>Action meets confidence and scale. Momentum can enlarge an effort quickly, along with the risk, promise, workload, or public expectation attached to it.</x:v>
      </x:c>
      <x:c r="H22" s="27" t="str">
        <x:v>The two functions operate inside the same event. Benefit and complication arrive together, so separating one from the other is difficult.</x:v>
      </x:c>
      <x:c r="I22" s="27" t="str">
        <x:v>The two fuse and intensify as they close in.</x:v>
      </x:c>
      <x:c r="J22" s="27" t="str">
        <x:v>The fused theme peaks and discharges.</x:v>
      </x:c>
      <x:c r="K22" s="27" t="str">
        <x:v>[runtime sign]</x:v>
      </x:c>
      <x:c r="L22" s="27" t="str">
        <x:v>[lookup Body|Sign]</x:v>
      </x:c>
      <x:c r="M22" s="27" t="str">
        <x:v>[runtime sign]</x:v>
      </x:c>
      <x:c r="N22" s="27" t="str">
        <x:v>[lookup Body|Sign]</x:v>
      </x:c>
      <x:c r="O22" s="27" t="str">
        <x:v>[runtime local datetime]</x:v>
      </x:c>
      <x:c r="P22" s="27" t="str">
        <x:v>[runtime orb]</x:v>
      </x:c>
      <x:c r="Q22" s="27" t="str">
        <x:v>[applying / exact / separating]</x:v>
      </x:c>
      <x:c r="R22" s="27" t="str">
        <x:v>[runtime flags]</x:v>
      </x:c>
      <x:c r="S22" s="27" t="str">
        <x:v>Write one integrated collective Sky Calendar forecast for Mars in [Planet A sign] conjunction Jupiter in [Planet B sign] at [calculated date/time]. Preserve this pair meaning: Action meets confidence and scale. Momentum can enlarge an effort quickly, along with the risk, promise, workload, or public expectation attached to it. For the conjunction, apply this behavior: The two functions operate inside the same event. Benefit and complication arrive together, so separating one from the other is difficult. Use the Planet A sign to change how Mars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2" s="27" t="str">
        <x:v>One bold move turns into a full-scale campaign before anyone calls for a pause. Mars conjunct Jupiter can make confidence feed momentum so quickly that the next commitment is made while the last one is still being absorbed. Spending rises, the audience grows, and caution starts to sound like disloyalty. Big energy can produce a big result, but it can also turn enthusiasm into a promise nobody planned to keep. Check the staff, budget, and actual limit before saying yes to the next expansion.</x:v>
      </x:c>
      <x:c r="U22" s="27" t="str"/>
      <x:c r="V22" s="27" t="str">
        <x:v>READY FOR RUNTIME</x:v>
      </x:c>
    </x:row>
    <x:row r="23">
      <x:c r="A23" s="27" t="n">
        <x:v>22</x:v>
      </x:c>
      <x:c r="B23" s="27" t="str">
        <x:v>sky.mars.opposition.jupiter</x:v>
      </x:c>
      <x:c r="C23" s="27" t="str">
        <x:v>mars</x:v>
      </x:c>
      <x:c r="D23" s="27" t="str">
        <x:v>opposition</x:v>
      </x:c>
      <x:c r="E23" s="27" t="str">
        <x:v>jupiter</x:v>
      </x:c>
      <x:c r="F23" s="27" t="str">
        <x:v>mars|jupiter</x:v>
      </x:c>
      <x:c r="G23" s="27" t="str">
        <x:v>Action meets confidence and scale. Momentum can enlarge an effort quickly, along with the risk, promise, workload, or public expectation attached to it.</x:v>
      </x:c>
      <x:c r="H23" s="27" t="str">
        <x:v>Two needs or positions face each other directly through different people, roles, institutions, or requirements. The tradeoff has to become explicit.</x:v>
      </x:c>
      <x:c r="I23" s="27" t="str">
        <x:v>A confrontation builds; the other side comes fully into view.</x:v>
      </x:c>
      <x:c r="J23" s="27" t="str">
        <x:v>The standoff resolves into balance or a split.</x:v>
      </x:c>
      <x:c r="K23" s="27" t="str">
        <x:v>[runtime sign]</x:v>
      </x:c>
      <x:c r="L23" s="27" t="str">
        <x:v>[lookup Body|Sign]</x:v>
      </x:c>
      <x:c r="M23" s="27" t="str">
        <x:v>[runtime sign]</x:v>
      </x:c>
      <x:c r="N23" s="27" t="str">
        <x:v>[lookup Body|Sign]</x:v>
      </x:c>
      <x:c r="O23" s="27" t="str">
        <x:v>[runtime local datetime]</x:v>
      </x:c>
      <x:c r="P23" s="27" t="str">
        <x:v>[runtime orb]</x:v>
      </x:c>
      <x:c r="Q23" s="27" t="str">
        <x:v>[applying / exact / separating]</x:v>
      </x:c>
      <x:c r="R23" s="27" t="str">
        <x:v>[runtime flags]</x:v>
      </x:c>
      <x:c r="S23" s="27" t="str">
        <x:v>Write one integrated collective Sky Calendar forecast for Mars in [Planet A sign] opposition Jupiter in [Planet B sign] at [calculated date/time]. Preserve this pair meaning: Action meets confidence and scale. Momentum can enlarge an effort quickly, along with the risk, promise, workload, or public expectation attached to it. For the opposition, apply this behavior: Two needs or positions face each other directly through different people, roles, institutions, or requirements. The tradeoff has to become explicit. Use the Planet A sign to change how Mars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3" s="27" t="str">
        <x:v>The person pushing for immediate expansion faces the people responsible for managing the risk. Mars opposite Jupiter makes the cost of moving fast impossible to leave in the background: one side sees momentum and a closing window, while the other sees permits, staffing, money, and consequences that will remain after the rush is over. Neither side is automatically wrong. Put the opportunity and the risk on the same page. Decide what can move now without making the delivery team inherit promises they never approved.</x:v>
      </x:c>
      <x:c r="U23" s="27" t="str"/>
      <x:c r="V23" s="27" t="str">
        <x:v>READY FOR RUNTIME</x:v>
      </x:c>
    </x:row>
    <x:row r="24">
      <x:c r="A24" s="27" t="n">
        <x:v>23</x:v>
      </x:c>
      <x:c r="B24" s="27" t="str">
        <x:v>sky.mars.square.jupiter</x:v>
      </x:c>
      <x:c r="C24" s="27" t="str">
        <x:v>mars</x:v>
      </x:c>
      <x:c r="D24" s="27" t="str">
        <x:v>square</x:v>
      </x:c>
      <x:c r="E24" s="27" t="str">
        <x:v>jupiter</x:v>
      </x:c>
      <x:c r="F24" s="27" t="str">
        <x:v>mars|jupiter</x:v>
      </x:c>
      <x:c r="G24" s="27" t="str">
        <x:v>Action meets confidence and scale. Momentum can enlarge an effort quickly, along with the risk, promise, workload, or public expectation attached to it.</x:v>
      </x:c>
      <x:c r="H24" s="27" t="str">
        <x:v>Friction makes the problem difficult to keep absorbing. Pressure repeats or escalates until the plan, rule, behavior, or distribution of responsibility changes.</x:v>
      </x:c>
      <x:c r="I24" s="27" t="str">
        <x:v>Friction builds toward a forced adjustment.</x:v>
      </x:c>
      <x:c r="J24" s="27" t="str">
        <x:v>The crisis passes; what was restructured settles.</x:v>
      </x:c>
      <x:c r="K24" s="27" t="str">
        <x:v>[runtime sign]</x:v>
      </x:c>
      <x:c r="L24" s="27" t="str">
        <x:v>[lookup Body|Sign]</x:v>
      </x:c>
      <x:c r="M24" s="27" t="str">
        <x:v>[runtime sign]</x:v>
      </x:c>
      <x:c r="N24" s="27" t="str">
        <x:v>[lookup Body|Sign]</x:v>
      </x:c>
      <x:c r="O24" s="27" t="str">
        <x:v>[runtime local datetime]</x:v>
      </x:c>
      <x:c r="P24" s="27" t="str">
        <x:v>[runtime orb]</x:v>
      </x:c>
      <x:c r="Q24" s="27" t="str">
        <x:v>[applying / exact / separating]</x:v>
      </x:c>
      <x:c r="R24" s="27" t="str">
        <x:v>[runtime flags]</x:v>
      </x:c>
      <x:c r="S24" s="27" t="str">
        <x:v>Write one integrated collective Sky Calendar forecast for Mars in [Planet A sign] square Jupiter in [Planet B sign] at [calculated date/time]. Preserve this pair meaning: Action meets confidence and scale. Momentum can enlarge an effort quickly, along with the risk, promise, workload, or public expectation attached to it. For the square, apply this behavior: Friction makes the problem difficult to keep absorbing. Pressure repeats or escalates until the plan, rule, behavior, or distribution of responsibility changes. Use the Planet A sign to change how Mars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4" s="27" t="str">
        <x:v>A confident team doubles the bet before anyone checks if the staff, budget, or permit can survive it. Mars square Jupiter can turn one success into a reason to take the next risk too quickly, especially when the people making the promise are not the ones responsible for delivering it. The launch expands, the trip gets booked, or faster results are announced while basic questions are still open. Momentum is useful until it starts writing checks other people have to cover. Recalculate the commitment before increasing it again.</x:v>
      </x:c>
      <x:c r="U24" s="27" t="str"/>
      <x:c r="V24" s="27" t="str">
        <x:v>READY FOR RUNTIME</x:v>
      </x:c>
    </x:row>
    <x:row r="25">
      <x:c r="A25" s="27" t="n">
        <x:v>24</x:v>
      </x:c>
      <x:c r="B25" s="27" t="str">
        <x:v>sky.mars.trine.jupiter</x:v>
      </x:c>
      <x:c r="C25" s="27" t="str">
        <x:v>mars</x:v>
      </x:c>
      <x:c r="D25" s="27" t="str">
        <x:v>trine</x:v>
      </x:c>
      <x:c r="E25" s="27" t="str">
        <x:v>jupiter</x:v>
      </x:c>
      <x:c r="F25" s="27" t="str">
        <x:v>mars|jupiter</x:v>
      </x:c>
      <x:c r="G25" s="27" t="str">
        <x:v>Action meets confidence and scale. Momentum can enlarge an effort quickly, along with the risk, promise, workload, or public expectation attached to it.</x:v>
      </x:c>
      <x:c r="H25" s="27" t="str">
        <x:v>The two functions support each other easily. Momentum is available with less resistance, which helps progress but can let a weak assumption travel farther.</x:v>
      </x:c>
      <x:c r="I25" s="27" t="str">
        <x:v>Ease and support build and arrive on their own.</x:v>
      </x:c>
      <x:c r="J25" s="27" t="str">
        <x:v>The ease withdraws; the flow passes, used or not.</x:v>
      </x:c>
      <x:c r="K25" s="27" t="str">
        <x:v>[runtime sign]</x:v>
      </x:c>
      <x:c r="L25" s="27" t="str">
        <x:v>[lookup Body|Sign]</x:v>
      </x:c>
      <x:c r="M25" s="27" t="str">
        <x:v>[runtime sign]</x:v>
      </x:c>
      <x:c r="N25" s="27" t="str">
        <x:v>[lookup Body|Sign]</x:v>
      </x:c>
      <x:c r="O25" s="27" t="str">
        <x:v>[runtime local datetime]</x:v>
      </x:c>
      <x:c r="P25" s="27" t="str">
        <x:v>[runtime orb]</x:v>
      </x:c>
      <x:c r="Q25" s="27" t="str">
        <x:v>[applying / exact / separating]</x:v>
      </x:c>
      <x:c r="R25" s="27" t="str">
        <x:v>[runtime flags]</x:v>
      </x:c>
      <x:c r="S25" s="27" t="str">
        <x:v>Write one integrated collective Sky Calendar forecast for Mars in [Planet A sign] trine Jupiter in [Planet B sign] at [calculated date/time]. Preserve this pair meaning: Action meets confidence and scale. Momentum can enlarge an effort quickly, along with the risk, promise, workload, or public expectation attached to it. For the trine, apply this behavior: The two functions support each other easily. Momentum is available with less resistance, which helps progress but can let a weak assumption travel farther. Use the Planet A sign to change how Mars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5" s="27" t="str">
        <x:v>A bold move receives the backing required to become more than a lucky break. Mars trine Jupiter can line up effort with opportunity, so staff, money, permits, or public support arrive behind a plan that is already prepared to use them. The work can grow quickly without becoming reckless because the people doing it know where the extra resources belong. This is a good time to scale what has already proven itself. Keep the next step tied to the team and systems that made the first result possible.</x:v>
      </x:c>
      <x:c r="U25" s="27" t="str"/>
      <x:c r="V25" s="27" t="str">
        <x:v>READY FOR RUNTIME</x:v>
      </x:c>
    </x:row>
    <x:row r="26">
      <x:c r="A26" s="27" t="n">
        <x:v>25</x:v>
      </x:c>
      <x:c r="B26" s="27" t="str">
        <x:v>sky.mars.sextile.jupiter</x:v>
      </x:c>
      <x:c r="C26" s="27" t="str">
        <x:v>mars</x:v>
      </x:c>
      <x:c r="D26" s="27" t="str">
        <x:v>sextile</x:v>
      </x:c>
      <x:c r="E26" s="27" t="str">
        <x:v>jupiter</x:v>
      </x:c>
      <x:c r="F26" s="27" t="str">
        <x:v>mars|jupiter</x:v>
      </x:c>
      <x:c r="G26" s="27" t="str">
        <x:v>Action meets confidence and scale. Momentum can enlarge an effort quickly, along with the risk, promise, workload, or public expectation attached to it.</x:v>
      </x:c>
      <x:c r="H26" s="27" t="str">
        <x:v>A workable opening appears between the two functions. The opportunity is useful but not automatic; someone still has to notice it and make the specific move.</x:v>
      </x:c>
      <x:c r="I26" s="27" t="str">
        <x:v>A supportive opening becomes available; offered, not automatic.</x:v>
      </x:c>
      <x:c r="J26" s="27" t="str">
        <x:v>The opening closes; unused, it passes.</x:v>
      </x:c>
      <x:c r="K26" s="27" t="str">
        <x:v>[runtime sign]</x:v>
      </x:c>
      <x:c r="L26" s="27" t="str">
        <x:v>[lookup Body|Sign]</x:v>
      </x:c>
      <x:c r="M26" s="27" t="str">
        <x:v>[runtime sign]</x:v>
      </x:c>
      <x:c r="N26" s="27" t="str">
        <x:v>[lookup Body|Sign]</x:v>
      </x:c>
      <x:c r="O26" s="27" t="str">
        <x:v>[runtime local datetime]</x:v>
      </x:c>
      <x:c r="P26" s="27" t="str">
        <x:v>[runtime orb]</x:v>
      </x:c>
      <x:c r="Q26" s="27" t="str">
        <x:v>[applying / exact / separating]</x:v>
      </x:c>
      <x:c r="R26" s="27" t="str">
        <x:v>[runtime flags]</x:v>
      </x:c>
      <x:c r="S26" s="27" t="str">
        <x:v>Write one integrated collective Sky Calendar forecast for Mars in [Planet A sign] sextile Jupiter in [Planet B sign] at [calculated date/time]. Preserve this pair meaning: Action meets confidence and scale. Momentum can enlarge an effort quickly, along with the risk, promise, workload, or public expectation attached to it. For the sextile, apply this behavior: A workable opening appears between the two functions. The opportunity is useful but not automatic; someone still has to notice it and make the specific move. Use the Planet A sign to change how Mars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6" s="27" t="str">
        <x:v>A quick pitch catches fire and reaches a much larger audience than expected. Mars sextile Jupiter can help one direct move open a bigger opportunity, especially when a short video, sharp headline, introduction, or application reaches the right person at the right time. Attention is useful, but it creates expectations immediately. Make sure somebody is ready to answer the replies, fulfill the orders, or follow the lead. The opportunity gets better when the team can actually support the visibility it asked for.</x:v>
      </x:c>
      <x:c r="U26" s="27" t="str"/>
      <x:c r="V26" s="27" t="str">
        <x:v>READY FOR RUNTIME</x:v>
      </x:c>
    </x:row>
    <x:row r="27">
      <x:c r="A27" s="27" t="n">
        <x:v>26</x:v>
      </x:c>
      <x:c r="B27" s="27" t="str">
        <x:v>sky.mars.conjunction.neptune</x:v>
      </x:c>
      <x:c r="C27" s="27" t="str">
        <x:v>mars</x:v>
      </x:c>
      <x:c r="D27" s="27" t="str">
        <x:v>conjunction</x:v>
      </x:c>
      <x:c r="E27" s="27" t="str">
        <x:v>neptune</x:v>
      </x:c>
      <x:c r="F27" s="27" t="str">
        <x:v>mars|neptune</x:v>
      </x:c>
      <x:c r="G27" s="27" t="str">
        <x:v>Action meets ideal, empathy, and ambiguity. Effort is powerful when the purpose is clear and wasteful when the target keeps moving.</x:v>
      </x:c>
      <x:c r="H27" s="27" t="str">
        <x:v>The two functions operate inside the same event. Benefit and complication arrive together, so separating one from the other is difficult.</x:v>
      </x:c>
      <x:c r="I27" s="27" t="str">
        <x:v>The two fuse and intensify as they close in.</x:v>
      </x:c>
      <x:c r="J27" s="27" t="str">
        <x:v>The fused theme peaks and discharges.</x:v>
      </x:c>
      <x:c r="K27" s="27" t="str">
        <x:v>[runtime sign]</x:v>
      </x:c>
      <x:c r="L27" s="27" t="str">
        <x:v>[lookup Body|Sign]</x:v>
      </x:c>
      <x:c r="M27" s="27" t="str">
        <x:v>[runtime sign]</x:v>
      </x:c>
      <x:c r="N27" s="27" t="str">
        <x:v>[lookup Body|Sign]</x:v>
      </x:c>
      <x:c r="O27" s="27" t="str">
        <x:v>[runtime local datetime]</x:v>
      </x:c>
      <x:c r="P27" s="27" t="str">
        <x:v>[runtime orb]</x:v>
      </x:c>
      <x:c r="Q27" s="27" t="str">
        <x:v>[applying / exact / separating]</x:v>
      </x:c>
      <x:c r="R27" s="27" t="str">
        <x:v>[runtime flags]</x:v>
      </x:c>
      <x:c r="S27" s="27" t="str">
        <x:v>Write one integrated collective Sky Calendar forecast for Mars in [Planet A sign] conjunction Neptune in [Planet B sign] at [calculated date/time]. Preserve this pair meaning: Action meets ideal, empathy, and ambiguity. Effort is powerful when the purpose is clear and wasteful when the target keeps moving. For the conjunction, apply this behavior: The two functions operate inside the same event. Benefit and complication arrive together, so separating one from the other is difficult. Use the Planet A sign to change how Mars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7" s="27" t="str">
        <x:v>A campaign gathers volunteers, money, and urgency before anyone can give the goal the same name. Mars conjunct Neptune can make conviction feel like enough direction, so people start donating, confronting, publishing, or organizing while roles and measures of success are still fuzzy. The energy is sincere, but sincerity does not decide where the money or work belongs. Someone has to translate the feeling into a job. Name the objective, who owns it, and what a finished result looks like before the response gets any larger.</x:v>
      </x:c>
      <x:c r="U27" s="27" t="str"/>
      <x:c r="V27" s="27" t="str">
        <x:v>READY FOR RUNTIME</x:v>
      </x:c>
    </x:row>
    <x:row r="28">
      <x:c r="A28" s="27" t="n">
        <x:v>27</x:v>
      </x:c>
      <x:c r="B28" s="27" t="str">
        <x:v>sky.mars.opposition.neptune</x:v>
      </x:c>
      <x:c r="C28" s="27" t="str">
        <x:v>mars</x:v>
      </x:c>
      <x:c r="D28" s="27" t="str">
        <x:v>opposition</x:v>
      </x:c>
      <x:c r="E28" s="27" t="str">
        <x:v>neptune</x:v>
      </x:c>
      <x:c r="F28" s="27" t="str">
        <x:v>mars|neptune</x:v>
      </x:c>
      <x:c r="G28" s="27" t="str">
        <x:v>Action meets ideal, empathy, and ambiguity. Effort is powerful when the purpose is clear and wasteful when the target keeps moving.</x:v>
      </x:c>
      <x:c r="H28" s="27" t="str">
        <x:v>Two needs or positions face each other directly through different people, roles, institutions, or requirements. The tradeoff has to become explicit.</x:v>
      </x:c>
      <x:c r="I28" s="27" t="str">
        <x:v>A confrontation builds; the other side comes fully into view.</x:v>
      </x:c>
      <x:c r="J28" s="27" t="str">
        <x:v>The standoff resolves into balance or a split.</x:v>
      </x:c>
      <x:c r="K28" s="27" t="str">
        <x:v>[runtime sign]</x:v>
      </x:c>
      <x:c r="L28" s="27" t="str">
        <x:v>[lookup Body|Sign]</x:v>
      </x:c>
      <x:c r="M28" s="27" t="str">
        <x:v>[runtime sign]</x:v>
      </x:c>
      <x:c r="N28" s="27" t="str">
        <x:v>[lookup Body|Sign]</x:v>
      </x:c>
      <x:c r="O28" s="27" t="str">
        <x:v>[runtime local datetime]</x:v>
      </x:c>
      <x:c r="P28" s="27" t="str">
        <x:v>[runtime orb]</x:v>
      </x:c>
      <x:c r="Q28" s="27" t="str">
        <x:v>[applying / exact / separating]</x:v>
      </x:c>
      <x:c r="R28" s="27" t="str">
        <x:v>[runtime flags]</x:v>
      </x:c>
      <x:c r="S28" s="27" t="str">
        <x:v>Write one integrated collective Sky Calendar forecast for Mars in [Planet A sign] opposition Neptune in [Planet B sign] at [calculated date/time]. Preserve this pair meaning: Action meets ideal, empathy, and ambiguity. Effort is powerful when the purpose is clear and wasteful when the target keeps moving. For the opposition, apply this behavior: Two needs or positions face each other directly through different people, roles, institutions, or requirements. The tradeoff has to become explicit. Use the Planet A sign to change how Mars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8" s="27" t="str">
        <x:v>The people demanding direct action face the people invested in preserving an inspiring but unclear vision. Mars opposite Neptune can turn that difference into a fight between measurable results and the larger purpose nobody wants reduced to a spreadsheet. One side points to deadlines and harm; the other points to compassion, faith, or the parts of the work that are harder to count. The vision should be able to survive a practical question. Ask who is responsible for carrying it, what action is required now, and what result would show that the response is working.</x:v>
      </x:c>
      <x:c r="U28" s="27" t="str"/>
      <x:c r="V28" s="27" t="str">
        <x:v>READY FOR RUNTIME</x:v>
      </x:c>
    </x:row>
    <x:row r="29">
      <x:c r="A29" s="27" t="n">
        <x:v>28</x:v>
      </x:c>
      <x:c r="B29" s="27" t="str">
        <x:v>sky.mars.square.neptune</x:v>
      </x:c>
      <x:c r="C29" s="27" t="str">
        <x:v>mars</x:v>
      </x:c>
      <x:c r="D29" s="27" t="str">
        <x:v>square</x:v>
      </x:c>
      <x:c r="E29" s="27" t="str">
        <x:v>neptune</x:v>
      </x:c>
      <x:c r="F29" s="27" t="str">
        <x:v>mars|neptune</x:v>
      </x:c>
      <x:c r="G29" s="27" t="str">
        <x:v>Action meets ideal, empathy, and ambiguity. Effort is powerful when the purpose is clear and wasteful when the target keeps moving.</x:v>
      </x:c>
      <x:c r="H29" s="27" t="str">
        <x:v>Friction makes the problem difficult to keep absorbing. Pressure repeats or escalates until the plan, rule, behavior, or distribution of responsibility changes.</x:v>
      </x:c>
      <x:c r="I29" s="27" t="str">
        <x:v>Friction builds toward a forced adjustment.</x:v>
      </x:c>
      <x:c r="J29" s="27" t="str">
        <x:v>The crisis passes; what was restructured settles.</x:v>
      </x:c>
      <x:c r="K29" s="27" t="str">
        <x:v>[runtime sign]</x:v>
      </x:c>
      <x:c r="L29" s="27" t="str">
        <x:v>[lookup Body|Sign]</x:v>
      </x:c>
      <x:c r="M29" s="27" t="str">
        <x:v>[runtime sign]</x:v>
      </x:c>
      <x:c r="N29" s="27" t="str">
        <x:v>[lookup Body|Sign]</x:v>
      </x:c>
      <x:c r="O29" s="27" t="str">
        <x:v>[runtime local datetime]</x:v>
      </x:c>
      <x:c r="P29" s="27" t="str">
        <x:v>[runtime orb]</x:v>
      </x:c>
      <x:c r="Q29" s="27" t="str">
        <x:v>[applying / exact / separating]</x:v>
      </x:c>
      <x:c r="R29" s="27" t="str">
        <x:v>[runtime flags]</x:v>
      </x:c>
      <x:c r="S29" s="27" t="str">
        <x:v>Write one integrated collective Sky Calendar forecast for Mars in [Planet A sign] square Neptune in [Planet B sign] at [calculated date/time]. Preserve this pair meaning: Action meets ideal, empathy, and ambiguity. Effort is powerful when the purpose is clear and wasteful when the target keeps moving. For the square, apply this behavior: Friction makes the problem difficult to keep absorbing. Pressure repeats or escalates until the plan, rule, behavior, or distribution of responsibility changes. Use the Planet A sign to change how Mars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9" s="27" t="str">
        <x:v>A dramatic response begins before anyone can define the goal, authority, or measure of success. Mars square Neptune can scatter urgent energy across several different versions of the problem, so people rush to donate, confront, rescue, or publish without knowing who is coordinating the result. The effort looks powerful from the outside while money and responsibility disappear into confusion. Do not add more force to a blurry target. Decide what the immediate job is, who has authority to direct it, and what everyone else can stop doing.</x:v>
      </x:c>
      <x:c r="U29" s="27" t="str"/>
      <x:c r="V29" s="27" t="str">
        <x:v>READY FOR RUNTIME</x:v>
      </x:c>
    </x:row>
    <x:row r="30">
      <x:c r="A30" s="27" t="n">
        <x:v>29</x:v>
      </x:c>
      <x:c r="B30" s="27" t="str">
        <x:v>sky.mars.trine.neptune</x:v>
      </x:c>
      <x:c r="C30" s="27" t="str">
        <x:v>mars</x:v>
      </x:c>
      <x:c r="D30" s="27" t="str">
        <x:v>trine</x:v>
      </x:c>
      <x:c r="E30" s="27" t="str">
        <x:v>neptune</x:v>
      </x:c>
      <x:c r="F30" s="27" t="str">
        <x:v>mars|neptune</x:v>
      </x:c>
      <x:c r="G30" s="27" t="str">
        <x:v>Action meets ideal, empathy, and ambiguity. Effort is powerful when the purpose is clear and wasteful when the target keeps moving.</x:v>
      </x:c>
      <x:c r="H30" s="27" t="str">
        <x:v>The two functions support each other easily. Momentum is available with less resistance, which helps progress but can let a weak assumption travel farther.</x:v>
      </x:c>
      <x:c r="I30" s="27" t="str">
        <x:v>Ease and support build and arrive on their own.</x:v>
      </x:c>
      <x:c r="J30" s="27" t="str">
        <x:v>The ease withdraws; the flow passes, used or not.</x:v>
      </x:c>
      <x:c r="K30" s="27" t="str">
        <x:v>[runtime sign]</x:v>
      </x:c>
      <x:c r="L30" s="27" t="str">
        <x:v>[lookup Body|Sign]</x:v>
      </x:c>
      <x:c r="M30" s="27" t="str">
        <x:v>[runtime sign]</x:v>
      </x:c>
      <x:c r="N30" s="27" t="str">
        <x:v>[lookup Body|Sign]</x:v>
      </x:c>
      <x:c r="O30" s="27" t="str">
        <x:v>[runtime local datetime]</x:v>
      </x:c>
      <x:c r="P30" s="27" t="str">
        <x:v>[runtime orb]</x:v>
      </x:c>
      <x:c r="Q30" s="27" t="str">
        <x:v>[applying / exact / separating]</x:v>
      </x:c>
      <x:c r="R30" s="27" t="str">
        <x:v>[runtime flags]</x:v>
      </x:c>
      <x:c r="S30" s="27" t="str">
        <x:v>Write one integrated collective Sky Calendar forecast for Mars in [Planet A sign] trine Neptune in [Planet B sign] at [calculated date/time]. Preserve this pair meaning: Action meets ideal, empathy, and ambiguity. Effort is powerful when the purpose is clear and wasteful when the target keeps moving. For the trine, apply this behavior: The two functions support each other easily. Momentum is available with less resistance, which helps progress but can let a weak assumption travel farther. Use the Planet A sign to change how Mars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0" s="27" t="str">
        <x:v>A rescue, creative effort, or public action moves because people understand both the need and the reason they are showing up. Mars trine Neptune can keep practical effort connected to compassion without letting the emotional charge replace the work itself. Volunteers know their roles, organizers can explain the goal, and the story behind the effort still matters after the first burst of urgency. That combination is worth protecting. Keep the purpose visible, but make sure every new person knows exactly what they are responsible for carrying.</x:v>
      </x:c>
      <x:c r="U30" s="27" t="str"/>
      <x:c r="V30" s="27" t="str">
        <x:v>READY FOR RUNTIME</x:v>
      </x:c>
    </x:row>
    <x:row r="31">
      <x:c r="A31" s="27" t="n">
        <x:v>30</x:v>
      </x:c>
      <x:c r="B31" s="27" t="str">
        <x:v>sky.mars.sextile.neptune</x:v>
      </x:c>
      <x:c r="C31" s="27" t="str">
        <x:v>mars</x:v>
      </x:c>
      <x:c r="D31" s="27" t="str">
        <x:v>sextile</x:v>
      </x:c>
      <x:c r="E31" s="27" t="str">
        <x:v>neptune</x:v>
      </x:c>
      <x:c r="F31" s="27" t="str">
        <x:v>mars|neptune</x:v>
      </x:c>
      <x:c r="G31" s="27" t="str">
        <x:v>Action meets ideal, empathy, and ambiguity. Effort is powerful when the purpose is clear and wasteful when the target keeps moving.</x:v>
      </x:c>
      <x:c r="H31" s="27" t="str">
        <x:v>A workable opening appears between the two functions. The opportunity is useful but not automatic; someone still has to notice it and make the specific move.</x:v>
      </x:c>
      <x:c r="I31" s="27" t="str">
        <x:v>A supportive opening becomes available; offered, not automatic.</x:v>
      </x:c>
      <x:c r="J31" s="27" t="str">
        <x:v>The opening closes; unused, it passes.</x:v>
      </x:c>
      <x:c r="K31" s="27" t="str">
        <x:v>[runtime sign]</x:v>
      </x:c>
      <x:c r="L31" s="27" t="str">
        <x:v>[lookup Body|Sign]</x:v>
      </x:c>
      <x:c r="M31" s="27" t="str">
        <x:v>[runtime sign]</x:v>
      </x:c>
      <x:c r="N31" s="27" t="str">
        <x:v>[lookup Body|Sign]</x:v>
      </x:c>
      <x:c r="O31" s="27" t="str">
        <x:v>[runtime local datetime]</x:v>
      </x:c>
      <x:c r="P31" s="27" t="str">
        <x:v>[runtime orb]</x:v>
      </x:c>
      <x:c r="Q31" s="27" t="str">
        <x:v>[applying / exact / separating]</x:v>
      </x:c>
      <x:c r="R31" s="27" t="str">
        <x:v>[runtime flags]</x:v>
      </x:c>
      <x:c r="S31" s="27" t="str">
        <x:v>Write one integrated collective Sky Calendar forecast for Mars in [Planet A sign] sextile Neptune in [Planet B sign] at [calculated date/time]. Preserve this pair meaning: Action meets ideal, empathy, and ambiguity. Effort is powerful when the purpose is clear and wasteful when the target keeps moving. For the sextile, apply this behavior: A workable opening appears between the two functions. The opportunity is useful but not automatic; someone still has to notice it and make the specific move. Use the Planet A sign to change how Mars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1" s="27" t="str">
        <x:v>A strong feeling finds one concrete action before it scatters into frustration. Mars sextile Neptune can turn grief, outrage, hope, or creative urgency into a fundraiser, volunteer shift, performance, or direct request that gives people somewhere useful to put their energy. The action does not have to solve the entire problem to matter. It needs a clear purpose and a person who can receive the help. Choose the next task people can actually complete, then let the larger feeling stay larger than the assignment.</x:v>
      </x:c>
      <x:c r="U31" s="27" t="str"/>
      <x:c r="V31" s="27" t="str">
        <x:v>READY FOR RUNTIME</x:v>
      </x:c>
    </x:row>
    <x:row r="32">
      <x:c r="A32" s="27" t="n">
        <x:v>31</x:v>
      </x:c>
      <x:c r="B32" s="27" t="str">
        <x:v>sky.mars.conjunction.pluto</x:v>
      </x:c>
      <x:c r="C32" s="27" t="str">
        <x:v>mars</x:v>
      </x:c>
      <x:c r="D32" s="27" t="str">
        <x:v>conjunction</x:v>
      </x:c>
      <x:c r="E32" s="27" t="str">
        <x:v>pluto</x:v>
      </x:c>
      <x:c r="F32" s="27" t="str">
        <x:v>mars|pluto</x:v>
      </x:c>
      <x:c r="G32" s="27" t="str">
        <x:v>Force meets leverage and control. Action becomes a contest over who can compel the result and who absorbs the consequences.</x:v>
      </x:c>
      <x:c r="H32" s="27" t="str">
        <x:v>The two functions operate inside the same event. Benefit and complication arrive together, so separating one from the other is difficult.</x:v>
      </x:c>
      <x:c r="I32" s="27" t="str">
        <x:v>The two fuse and intensify as they close in.</x:v>
      </x:c>
      <x:c r="J32" s="27" t="str">
        <x:v>The fused theme peaks and discharges.</x:v>
      </x:c>
      <x:c r="K32" s="27" t="str">
        <x:v>[runtime sign]</x:v>
      </x:c>
      <x:c r="L32" s="27" t="str">
        <x:v>[lookup Body|Sign]</x:v>
      </x:c>
      <x:c r="M32" s="27" t="str">
        <x:v>[runtime sign]</x:v>
      </x:c>
      <x:c r="N32" s="27" t="str">
        <x:v>[lookup Body|Sign]</x:v>
      </x:c>
      <x:c r="O32" s="27" t="str">
        <x:v>[runtime local datetime]</x:v>
      </x:c>
      <x:c r="P32" s="27" t="str">
        <x:v>[runtime orb]</x:v>
      </x:c>
      <x:c r="Q32" s="27" t="str">
        <x:v>[applying / exact / separating]</x:v>
      </x:c>
      <x:c r="R32" s="27" t="str">
        <x:v>[runtime flags]</x:v>
      </x:c>
      <x:c r="S32" s="27" t="str">
        <x:v>Write one integrated collective Sky Calendar forecast for Mars in [Planet A sign] conjunction Pluto in [Planet B sign] at [calculated date/time]. Preserve this pair meaning: Force meets leverage and control. Action becomes a contest over who can compel the result and who absorbs the consequences. For the conjunction, apply this behavior: The two functions operate inside the same event. Benefit and complication arrive together, so separating one from the other is difficult. Use the Planet A sign to change how Mars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2" s="27" t="str">
        <x:v>A shutdown, ultimatum, or takeover makes the next move a test of who can force the outcome. Mars conjunct Pluto can concentrate action around the exact pressure point everyone is afraid to release: the money, platform, building, records, or final approval. Once force and leverage merge, cooperation can start looking like surrender. Winning the immediate contest may cost more than either side expected. Identify the thing everyone is threatening to withhold and decide what must remain usable after the confrontation is over.</x:v>
      </x:c>
      <x:c r="U32" s="27" t="str"/>
      <x:c r="V32" s="27" t="str">
        <x:v>READY FOR RUNTIME</x:v>
      </x:c>
    </x:row>
    <x:row r="33">
      <x:c r="A33" s="27" t="n">
        <x:v>32</x:v>
      </x:c>
      <x:c r="B33" s="27" t="str">
        <x:v>sky.mars.opposition.pluto</x:v>
      </x:c>
      <x:c r="C33" s="27" t="str">
        <x:v>mars</x:v>
      </x:c>
      <x:c r="D33" s="27" t="str">
        <x:v>opposition</x:v>
      </x:c>
      <x:c r="E33" s="27" t="str">
        <x:v>pluto</x:v>
      </x:c>
      <x:c r="F33" s="27" t="str">
        <x:v>mars|pluto</x:v>
      </x:c>
      <x:c r="G33" s="27" t="str">
        <x:v>Force meets leverage and control. Action becomes a contest over who can compel the result and who absorbs the consequences.</x:v>
      </x:c>
      <x:c r="H33" s="27" t="str">
        <x:v>Two needs or positions face each other directly through different people, roles, institutions, or requirements. The tradeoff has to become explicit.</x:v>
      </x:c>
      <x:c r="I33" s="27" t="str">
        <x:v>A confrontation builds; the other side comes fully into view.</x:v>
      </x:c>
      <x:c r="J33" s="27" t="str">
        <x:v>The standoff resolves into balance or a split.</x:v>
      </x:c>
      <x:c r="K33" s="27" t="str">
        <x:v>[runtime sign]</x:v>
      </x:c>
      <x:c r="L33" s="27" t="str">
        <x:v>[lookup Body|Sign]</x:v>
      </x:c>
      <x:c r="M33" s="27" t="str">
        <x:v>[runtime sign]</x:v>
      </x:c>
      <x:c r="N33" s="27" t="str">
        <x:v>[lookup Body|Sign]</x:v>
      </x:c>
      <x:c r="O33" s="27" t="str">
        <x:v>[runtime local datetime]</x:v>
      </x:c>
      <x:c r="P33" s="27" t="str">
        <x:v>[runtime orb]</x:v>
      </x:c>
      <x:c r="Q33" s="27" t="str">
        <x:v>[applying / exact / separating]</x:v>
      </x:c>
      <x:c r="R33" s="27" t="str">
        <x:v>[runtime flags]</x:v>
      </x:c>
      <x:c r="S33" s="27" t="str">
        <x:v>Write one integrated collective Sky Calendar forecast for Mars in [Planet A sign] opposition Pluto in [Planet B sign] at [calculated date/time]. Preserve this pair meaning: Force meets leverage and control. Action becomes a contest over who can compel the result and who absorbs the consequences. For the opposition, apply this behavior: Two needs or positions face each other directly through different people, roles, institutions, or requirements. The tradeoff has to become explicit. Use the Planet A sign to change how Mars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3" s="27" t="str">
        <x:v>The person making the move faces the person who can block access, funding, or permission with one decision. Mars opposite Pluto exposes the difference between visible action and private leverage, especially when one side can make resistance expensive without ever raising its voice. The conflict may look like a debate about timing, but the deeper question is who controls the consequence. Put that power on the table. A workable agreement has to name what each side can block, what each side needs, and what happens if neither one gives way.</x:v>
      </x:c>
      <x:c r="U33" s="27" t="str"/>
      <x:c r="V33" s="27" t="str">
        <x:v>READY FOR RUNTIME</x:v>
      </x:c>
    </x:row>
    <x:row r="34">
      <x:c r="A34" s="27" t="n">
        <x:v>33</x:v>
      </x:c>
      <x:c r="B34" s="27" t="str">
        <x:v>sky.mars.square.pluto</x:v>
      </x:c>
      <x:c r="C34" s="27" t="str">
        <x:v>mars</x:v>
      </x:c>
      <x:c r="D34" s="27" t="str">
        <x:v>square</x:v>
      </x:c>
      <x:c r="E34" s="27" t="str">
        <x:v>pluto</x:v>
      </x:c>
      <x:c r="F34" s="27" t="str">
        <x:v>mars|pluto</x:v>
      </x:c>
      <x:c r="G34" s="27" t="str">
        <x:v>Force meets leverage and control. Action becomes a contest over who can compel the result and who absorbs the consequences.</x:v>
      </x:c>
      <x:c r="H34" s="27" t="str">
        <x:v>Friction makes the problem difficult to keep absorbing. Pressure repeats or escalates until the plan, rule, behavior, or distribution of responsibility changes.</x:v>
      </x:c>
      <x:c r="I34" s="27" t="str">
        <x:v>Friction builds toward a forced adjustment.</x:v>
      </x:c>
      <x:c r="J34" s="27" t="str">
        <x:v>The crisis passes; what was restructured settles.</x:v>
      </x:c>
      <x:c r="K34" s="27" t="str">
        <x:v>[runtime sign]</x:v>
      </x:c>
      <x:c r="L34" s="27" t="str">
        <x:v>[lookup Body|Sign]</x:v>
      </x:c>
      <x:c r="M34" s="27" t="str">
        <x:v>[runtime sign]</x:v>
      </x:c>
      <x:c r="N34" s="27" t="str">
        <x:v>[lookup Body|Sign]</x:v>
      </x:c>
      <x:c r="O34" s="27" t="str">
        <x:v>[runtime local datetime]</x:v>
      </x:c>
      <x:c r="P34" s="27" t="str">
        <x:v>[runtime orb]</x:v>
      </x:c>
      <x:c r="Q34" s="27" t="str">
        <x:v>[applying / exact / separating]</x:v>
      </x:c>
      <x:c r="R34" s="27" t="str">
        <x:v>[runtime flags]</x:v>
      </x:c>
      <x:c r="S34" s="27" t="str">
        <x:v>Write one integrated collective Sky Calendar forecast for Mars in [Planet A sign] square Pluto in [Planet B sign] at [calculated date/time]. Preserve this pair meaning: Force meets leverage and control. Action becomes a contest over who can compel the result and who absorbs the consequences. For the square, apply this behavior: Friction makes the problem difficult to keep absorbing. Pressure repeats or escalates until the plan, rule, behavior, or distribution of responsibility changes. Use the Planet A sign to change how Mars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4" s="27" t="str">
        <x:v>A bold play for power creates a showdown over who controls the outcome. Mars square Pluto can turn a public move into a fight over rank, contracts, money, trust, or access the moment someone feels their authority is being tested. Pushing harder often gives the other side a reason to tighten the grip. The original issue can disappear inside the power struggle. Before escalating, identify the one decision that actually needs to change and the person with the authority to change it. Do not make the entire relationship the battlefield if one term is the problem.</x:v>
      </x:c>
      <x:c r="U34" s="27" t="str"/>
      <x:c r="V34" s="27" t="str">
        <x:v>READY FOR RUNTIME</x:v>
      </x:c>
    </x:row>
    <x:row r="35">
      <x:c r="A35" s="27" t="n">
        <x:v>34</x:v>
      </x:c>
      <x:c r="B35" s="27" t="str">
        <x:v>sky.mars.trine.pluto</x:v>
      </x:c>
      <x:c r="C35" s="27" t="str">
        <x:v>mars</x:v>
      </x:c>
      <x:c r="D35" s="27" t="str">
        <x:v>trine</x:v>
      </x:c>
      <x:c r="E35" s="27" t="str">
        <x:v>pluto</x:v>
      </x:c>
      <x:c r="F35" s="27" t="str">
        <x:v>mars|pluto</x:v>
      </x:c>
      <x:c r="G35" s="27" t="str">
        <x:v>Force meets leverage and control. Action becomes a contest over who can compel the result and who absorbs the consequences.</x:v>
      </x:c>
      <x:c r="H35" s="27" t="str">
        <x:v>The two functions support each other easily. Momentum is available with less resistance, which helps progress but can let a weak assumption travel farther.</x:v>
      </x:c>
      <x:c r="I35" s="27" t="str">
        <x:v>Ease and support build and arrive on their own.</x:v>
      </x:c>
      <x:c r="J35" s="27" t="str">
        <x:v>The ease withdraws; the flow passes, used or not.</x:v>
      </x:c>
      <x:c r="K35" s="27" t="str">
        <x:v>[runtime sign]</x:v>
      </x:c>
      <x:c r="L35" s="27" t="str">
        <x:v>[lookup Body|Sign]</x:v>
      </x:c>
      <x:c r="M35" s="27" t="str">
        <x:v>[runtime sign]</x:v>
      </x:c>
      <x:c r="N35" s="27" t="str">
        <x:v>[lookup Body|Sign]</x:v>
      </x:c>
      <x:c r="O35" s="27" t="str">
        <x:v>[runtime local datetime]</x:v>
      </x:c>
      <x:c r="P35" s="27" t="str">
        <x:v>[runtime orb]</x:v>
      </x:c>
      <x:c r="Q35" s="27" t="str">
        <x:v>[applying / exact / separating]</x:v>
      </x:c>
      <x:c r="R35" s="27" t="str">
        <x:v>[runtime flags]</x:v>
      </x:c>
      <x:c r="S35" s="27" t="str">
        <x:v>Write one integrated collective Sky Calendar forecast for Mars in [Planet A sign] trine Pluto in [Planet B sign] at [calculated date/time]. Preserve this pair meaning: Force meets leverage and control. Action becomes a contest over who can compel the result and who absorbs the consequences. For the trine, apply this behavior: The two functions support each other easily. Momentum is available with less resistance, which helps progress but can let a weak assumption travel farther. Use the Planet A sign to change how Mars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5" s="27" t="str">
        <x:v>Decisive action reaches the exact pressure point keeping a larger problem in place. Mars trine Pluto can help an investigation secure the records, a legal move freeze the money, or organized resistance reach the gatekeeper instead of scattering energy across symbolic fights. The force works because it is aimed at the part of the system that controls the result. This is not about being louder. It is about knowing which door matters. Put the effort where the leverage is and leave the weaker targets alone.</x:v>
      </x:c>
      <x:c r="U35" s="27" t="str"/>
      <x:c r="V35" s="27" t="str">
        <x:v>READY FOR RUNTIME</x:v>
      </x:c>
    </x:row>
    <x:row r="36">
      <x:c r="A36" s="27" t="n">
        <x:v>35</x:v>
      </x:c>
      <x:c r="B36" s="27" t="str">
        <x:v>sky.mars.sextile.pluto</x:v>
      </x:c>
      <x:c r="C36" s="27" t="str">
        <x:v>mars</x:v>
      </x:c>
      <x:c r="D36" s="27" t="str">
        <x:v>sextile</x:v>
      </x:c>
      <x:c r="E36" s="27" t="str">
        <x:v>pluto</x:v>
      </x:c>
      <x:c r="F36" s="27" t="str">
        <x:v>mars|pluto</x:v>
      </x:c>
      <x:c r="G36" s="27" t="str">
        <x:v>Force meets leverage and control. Action becomes a contest over who can compel the result and who absorbs the consequences.</x:v>
      </x:c>
      <x:c r="H36" s="27" t="str">
        <x:v>A workable opening appears between the two functions. The opportunity is useful but not automatic; someone still has to notice it and make the specific move.</x:v>
      </x:c>
      <x:c r="I36" s="27" t="str">
        <x:v>A supportive opening becomes available; offered, not automatic.</x:v>
      </x:c>
      <x:c r="J36" s="27" t="str">
        <x:v>The opening closes; unused, it passes.</x:v>
      </x:c>
      <x:c r="K36" s="27" t="str">
        <x:v>[runtime sign]</x:v>
      </x:c>
      <x:c r="L36" s="27" t="str">
        <x:v>[lookup Body|Sign]</x:v>
      </x:c>
      <x:c r="M36" s="27" t="str">
        <x:v>[runtime sign]</x:v>
      </x:c>
      <x:c r="N36" s="27" t="str">
        <x:v>[lookup Body|Sign]</x:v>
      </x:c>
      <x:c r="O36" s="27" t="str">
        <x:v>[runtime local datetime]</x:v>
      </x:c>
      <x:c r="P36" s="27" t="str">
        <x:v>[runtime orb]</x:v>
      </x:c>
      <x:c r="Q36" s="27" t="str">
        <x:v>[applying / exact / separating]</x:v>
      </x:c>
      <x:c r="R36" s="27" t="str">
        <x:v>[runtime flags]</x:v>
      </x:c>
      <x:c r="S36" s="27" t="str">
        <x:v>Write one integrated collective Sky Calendar forecast for Mars in [Planet A sign] sextile Pluto in [Planet B sign] at [calculated date/time]. Preserve this pair meaning: Force meets leverage and control. Action becomes a contest over who can compel the result and who absorbs the consequences. For the sextile, apply this behavior: A workable opening appears between the two functions. The opportunity is useful but not automatic; someone still has to notice it and make the specific move. Use the Planet A sign to change how Mars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6" s="27" t="str">
        <x:v>A direct challenge finally reaches the person holding the money, access, or final signature. Mars sextile Pluto can make pressure useful once it stops circling the symptom and reaches the source of control. A clause gets reopened, a gatekeeper answers publicly, or withheld access is restored because the conversation is finally happening with the person who can change the outcome. Use that opening carefully. Keep the request to the exact change required, document the answer, and do not spend the moment arguing about every grievance that led there.</x:v>
      </x:c>
      <x:c r="U36" s="27" t="str"/>
      <x:c r="V36" s="27" t="str">
        <x:v>READY FOR RUNTIME</x:v>
      </x:c>
    </x:row>
    <x:row r="37">
      <x:c r="A37" s="27" t="n">
        <x:v>36</x:v>
      </x:c>
      <x:c r="B37" s="27" t="str">
        <x:v>sky.mars.conjunction.saturn</x:v>
      </x:c>
      <x:c r="C37" s="27" t="str">
        <x:v>mars</x:v>
      </x:c>
      <x:c r="D37" s="27" t="str">
        <x:v>conjunction</x:v>
      </x:c>
      <x:c r="E37" s="27" t="str">
        <x:v>saturn</x:v>
      </x:c>
      <x:c r="F37" s="27" t="str">
        <x:v>mars|saturn</x:v>
      </x:c>
      <x:c r="G37" s="27" t="str">
        <x:v>Action meets restriction, timing, and authority. Pressure has to move through rules, limits, permits, deadlines, or a chain of responsibility.</x:v>
      </x:c>
      <x:c r="H37" s="27" t="str">
        <x:v>The two functions operate inside the same event. Benefit and complication arrive together, so separating one from the other is difficult.</x:v>
      </x:c>
      <x:c r="I37" s="27" t="str">
        <x:v>The two fuse and intensify as they close in.</x:v>
      </x:c>
      <x:c r="J37" s="27" t="str">
        <x:v>The fused theme peaks and discharges.</x:v>
      </x:c>
      <x:c r="K37" s="27" t="str">
        <x:v>[runtime sign]</x:v>
      </x:c>
      <x:c r="L37" s="27" t="str">
        <x:v>[lookup Body|Sign]</x:v>
      </x:c>
      <x:c r="M37" s="27" t="str">
        <x:v>[runtime sign]</x:v>
      </x:c>
      <x:c r="N37" s="27" t="str">
        <x:v>[lookup Body|Sign]</x:v>
      </x:c>
      <x:c r="O37" s="27" t="str">
        <x:v>[runtime local datetime]</x:v>
      </x:c>
      <x:c r="P37" s="27" t="str">
        <x:v>[runtime orb]</x:v>
      </x:c>
      <x:c r="Q37" s="27" t="str">
        <x:v>[applying / exact / separating]</x:v>
      </x:c>
      <x:c r="R37" s="27" t="str">
        <x:v>[runtime flags]</x:v>
      </x:c>
      <x:c r="S37" s="27" t="str">
        <x:v>Write one integrated collective Sky Calendar forecast for Mars in [Planet A sign] conjunction Saturn in [Planet B sign] at [calculated date/time]. Preserve this pair meaning: Action meets restriction, timing, and authority. Pressure has to move through rules, limits, permits, deadlines, or a chain of responsibility. For the conjunction, apply this behavior: The two functions operate inside the same event. Benefit and complication arrive together, so separating one from the other is difficult. Use the Planet A sign to change how Mars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7" s="27" t="str">
        <x:v>A high-stakes operation allows force, but only through a strict chain of command. Mars conjunct Saturn can make action and restriction part of the same job, especially during an urgent repair, controlled shutdown, or disciplinary decision where timing and authority cannot be improvised. The structure may be frustrating, but it is also what keeps the pressure from creating a second problem. Follow the sequence that protects the work. Then review where the chain of command slowed the response for reasons that had nothing to do with safety.</x:v>
      </x:c>
      <x:c r="U37" s="27" t="str"/>
      <x:c r="V37" s="27" t="str">
        <x:v>READY FOR RUNTIME</x:v>
      </x:c>
    </x:row>
    <x:row r="38">
      <x:c r="A38" s="27" t="n">
        <x:v>37</x:v>
      </x:c>
      <x:c r="B38" s="27" t="str">
        <x:v>sky.mars.opposition.saturn</x:v>
      </x:c>
      <x:c r="C38" s="27" t="str">
        <x:v>mars</x:v>
      </x:c>
      <x:c r="D38" s="27" t="str">
        <x:v>opposition</x:v>
      </x:c>
      <x:c r="E38" s="27" t="str">
        <x:v>saturn</x:v>
      </x:c>
      <x:c r="F38" s="27" t="str">
        <x:v>mars|saturn</x:v>
      </x:c>
      <x:c r="G38" s="27" t="str">
        <x:v>Action meets restriction, timing, and authority. Pressure has to move through rules, limits, permits, deadlines, or a chain of responsibility.</x:v>
      </x:c>
      <x:c r="H38" s="27" t="str">
        <x:v>Two needs or positions face each other directly through different people, roles, institutions, or requirements. The tradeoff has to become explicit.</x:v>
      </x:c>
      <x:c r="I38" s="27" t="str">
        <x:v>A confrontation builds; the other side comes fully into view.</x:v>
      </x:c>
      <x:c r="J38" s="27" t="str">
        <x:v>The standoff resolves into balance or a split.</x:v>
      </x:c>
      <x:c r="K38" s="27" t="str">
        <x:v>[runtime sign]</x:v>
      </x:c>
      <x:c r="L38" s="27" t="str">
        <x:v>[lookup Body|Sign]</x:v>
      </x:c>
      <x:c r="M38" s="27" t="str">
        <x:v>[runtime sign]</x:v>
      </x:c>
      <x:c r="N38" s="27" t="str">
        <x:v>[lookup Body|Sign]</x:v>
      </x:c>
      <x:c r="O38" s="27" t="str">
        <x:v>[runtime local datetime]</x:v>
      </x:c>
      <x:c r="P38" s="27" t="str">
        <x:v>[runtime orb]</x:v>
      </x:c>
      <x:c r="Q38" s="27" t="str">
        <x:v>[applying / exact / separating]</x:v>
      </x:c>
      <x:c r="R38" s="27" t="str">
        <x:v>[runtime flags]</x:v>
      </x:c>
      <x:c r="S38" s="27" t="str">
        <x:v>Write one integrated collective Sky Calendar forecast for Mars in [Planet A sign] opposition Saturn in [Planet B sign] at [calculated date/time]. Preserve this pair meaning: Action meets restriction, timing, and authority. Pressure has to move through rules, limits, permits, deadlines, or a chain of responsibility. For the opposition, apply this behavior: Two needs or positions face each other directly through different people, roles, institutions, or requirements. The tradeoff has to become explicit. Use the Planet A sign to change how Mars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8" s="27" t="str">
        <x:v>The people prepared to act face the official authorized to stop them. Mars opposite Saturn can make urgency collide with law, staffing, safety, or a limit that will still matter after the immediate crisis is over. One side sees the cost of waiting; the other sees the cost of acting without support. Both costs need to be named. Separate the delay that protects people from the delay that protects procedure, then decide which part of the plan can move without asking the system to pretend the limit is not there.</x:v>
      </x:c>
      <x:c r="U38" s="27" t="str"/>
      <x:c r="V38" s="27" t="str">
        <x:v>READY FOR RUNTIME</x:v>
      </x:c>
    </x:row>
    <x:row r="39">
      <x:c r="A39" s="27" t="n">
        <x:v>38</x:v>
      </x:c>
      <x:c r="B39" s="27" t="str">
        <x:v>sky.mars.square.saturn</x:v>
      </x:c>
      <x:c r="C39" s="27" t="str">
        <x:v>mars</x:v>
      </x:c>
      <x:c r="D39" s="27" t="str">
        <x:v>square</x:v>
      </x:c>
      <x:c r="E39" s="27" t="str">
        <x:v>saturn</x:v>
      </x:c>
      <x:c r="F39" s="27" t="str">
        <x:v>mars|saturn</x:v>
      </x:c>
      <x:c r="G39" s="27" t="str">
        <x:v>Action meets restriction, timing, and authority. Pressure has to move through rules, limits, permits, deadlines, or a chain of responsibility.</x:v>
      </x:c>
      <x:c r="H39" s="27" t="str">
        <x:v>Friction makes the problem difficult to keep absorbing. Pressure repeats or escalates until the plan, rule, behavior, or distribution of responsibility changes.</x:v>
      </x:c>
      <x:c r="I39" s="27" t="str">
        <x:v>Friction builds toward a forced adjustment.</x:v>
      </x:c>
      <x:c r="J39" s="27" t="str">
        <x:v>The crisis passes; what was restructured settles.</x:v>
      </x:c>
      <x:c r="K39" s="27" t="str">
        <x:v>[runtime sign]</x:v>
      </x:c>
      <x:c r="L39" s="27" t="str">
        <x:v>[lookup Body|Sign]</x:v>
      </x:c>
      <x:c r="M39" s="27" t="str">
        <x:v>[runtime sign]</x:v>
      </x:c>
      <x:c r="N39" s="27" t="str">
        <x:v>[lookup Body|Sign]</x:v>
      </x:c>
      <x:c r="O39" s="27" t="str">
        <x:v>[runtime local datetime]</x:v>
      </x:c>
      <x:c r="P39" s="27" t="str">
        <x:v>[runtime orb]</x:v>
      </x:c>
      <x:c r="Q39" s="27" t="str">
        <x:v>[applying / exact / separating]</x:v>
      </x:c>
      <x:c r="R39" s="27" t="str">
        <x:v>[runtime flags]</x:v>
      </x:c>
      <x:c r="S39" s="27" t="str">
        <x:v>Write one integrated collective Sky Calendar forecast for Mars in [Planet A sign] square Saturn in [Planet B sign] at [calculated date/time]. Preserve this pair meaning: Action meets restriction, timing, and authority. Pressure has to move through rules, limits, permits, deadlines, or a chain of responsibility. For the square, apply this behavior: Friction makes the problem difficult to keep absorbing. Pressure repeats or escalates until the plan, rule, behavior, or distribution of responsibility changes. Use the Planet A sign to change how Mars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39" s="27" t="str">
        <x:v>The crew is ready to move, but a permit, staffing limit, safety rule, or locked deadline blocks the next step. Mars square Saturn can make every delay feel more personal because the need is urgent and the barrier keeps refusing to move. The frustration is useful information, but the restriction still has to be examined on its own merits, especially if following it keeps creating damage. Find the exact requirement holding the work back. Meet it, change it, or escalate it to the person who can instead of burning hours fighting everyone required to enforce it.</x:v>
      </x:c>
      <x:c r="U39" s="27" t="str"/>
      <x:c r="V39" s="27" t="str">
        <x:v>READY FOR RUNTIME</x:v>
      </x:c>
    </x:row>
    <x:row r="40">
      <x:c r="A40" s="27" t="n">
        <x:v>39</x:v>
      </x:c>
      <x:c r="B40" s="27" t="str">
        <x:v>sky.mars.trine.saturn</x:v>
      </x:c>
      <x:c r="C40" s="27" t="str">
        <x:v>mars</x:v>
      </x:c>
      <x:c r="D40" s="27" t="str">
        <x:v>trine</x:v>
      </x:c>
      <x:c r="E40" s="27" t="str">
        <x:v>saturn</x:v>
      </x:c>
      <x:c r="F40" s="27" t="str">
        <x:v>mars|saturn</x:v>
      </x:c>
      <x:c r="G40" s="27" t="str">
        <x:v>Action meets restriction, timing, and authority. Pressure has to move through rules, limits, permits, deadlines, or a chain of responsibility.</x:v>
      </x:c>
      <x:c r="H40" s="27" t="str">
        <x:v>The two functions support each other easily. Momentum is available with less resistance, which helps progress but can let a weak assumption travel farther.</x:v>
      </x:c>
      <x:c r="I40" s="27" t="str">
        <x:v>Ease and support build and arrive on their own.</x:v>
      </x:c>
      <x:c r="J40" s="27" t="str">
        <x:v>The ease withdraws; the flow passes, used or not.</x:v>
      </x:c>
      <x:c r="K40" s="27" t="str">
        <x:v>[runtime sign]</x:v>
      </x:c>
      <x:c r="L40" s="27" t="str">
        <x:v>[lookup Body|Sign]</x:v>
      </x:c>
      <x:c r="M40" s="27" t="str">
        <x:v>[runtime sign]</x:v>
      </x:c>
      <x:c r="N40" s="27" t="str">
        <x:v>[lookup Body|Sign]</x:v>
      </x:c>
      <x:c r="O40" s="27" t="str">
        <x:v>[runtime local datetime]</x:v>
      </x:c>
      <x:c r="P40" s="27" t="str">
        <x:v>[runtime orb]</x:v>
      </x:c>
      <x:c r="Q40" s="27" t="str">
        <x:v>[applying / exact / separating]</x:v>
      </x:c>
      <x:c r="R40" s="27" t="str">
        <x:v>[runtime flags]</x:v>
      </x:c>
      <x:c r="S40" s="27" t="str">
        <x:v>Write one integrated collective Sky Calendar forecast for Mars in [Planet A sign] trine Saturn in [Planet B sign] at [calculated date/time]. Preserve this pair meaning: Action meets restriction, timing, and authority. Pressure has to move through rules, limits, permits, deadlines, or a chain of responsibility. For the trine, apply this behavior: The two functions support each other easily. Momentum is available with less resistance, which helps progress but can let a weak assumption travel farther. Use the Planet A sign to change how Mars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0" s="27" t="str">
        <x:v>The repair gets finished because the crew, materials, and deadline finally match the size of the job. Mars trine Saturn can turn pressure into disciplined work, so shifts are clear, safety steps stay intact, and nobody has to do three jobs just to keep the schedule alive. The result lasts because the pace is built around what people can actually carry. Protect that structure when the next urgent request arrives. A faster finish is not an improvement if it depends on exhausting the same people who have to maintain it afterward.</x:v>
      </x:c>
      <x:c r="U40" s="27" t="str"/>
      <x:c r="V40" s="27" t="str">
        <x:v>READY FOR RUNTIME</x:v>
      </x:c>
    </x:row>
    <x:row r="41">
      <x:c r="A41" s="27" t="n">
        <x:v>40</x:v>
      </x:c>
      <x:c r="B41" s="27" t="str">
        <x:v>sky.mars.sextile.saturn</x:v>
      </x:c>
      <x:c r="C41" s="27" t="str">
        <x:v>mars</x:v>
      </x:c>
      <x:c r="D41" s="27" t="str">
        <x:v>sextile</x:v>
      </x:c>
      <x:c r="E41" s="27" t="str">
        <x:v>saturn</x:v>
      </x:c>
      <x:c r="F41" s="27" t="str">
        <x:v>mars|saturn</x:v>
      </x:c>
      <x:c r="G41" s="27" t="str">
        <x:v>Action meets restriction, timing, and authority. Pressure has to move through rules, limits, permits, deadlines, or a chain of responsibility.</x:v>
      </x:c>
      <x:c r="H41" s="27" t="str">
        <x:v>A workable opening appears between the two functions. The opportunity is useful but not automatic; someone still has to notice it and make the specific move.</x:v>
      </x:c>
      <x:c r="I41" s="27" t="str">
        <x:v>A supportive opening becomes available; offered, not automatic.</x:v>
      </x:c>
      <x:c r="J41" s="27" t="str">
        <x:v>The opening closes; unused, it passes.</x:v>
      </x:c>
      <x:c r="K41" s="27" t="str">
        <x:v>[runtime sign]</x:v>
      </x:c>
      <x:c r="L41" s="27" t="str">
        <x:v>[lookup Body|Sign]</x:v>
      </x:c>
      <x:c r="M41" s="27" t="str">
        <x:v>[runtime sign]</x:v>
      </x:c>
      <x:c r="N41" s="27" t="str">
        <x:v>[lookup Body|Sign]</x:v>
      </x:c>
      <x:c r="O41" s="27" t="str">
        <x:v>[runtime local datetime]</x:v>
      </x:c>
      <x:c r="P41" s="27" t="str">
        <x:v>[runtime orb]</x:v>
      </x:c>
      <x:c r="Q41" s="27" t="str">
        <x:v>[applying / exact / separating]</x:v>
      </x:c>
      <x:c r="R41" s="27" t="str">
        <x:v>[runtime flags]</x:v>
      </x:c>
      <x:c r="S41" s="27" t="str">
        <x:v>Write one integrated collective Sky Calendar forecast for Mars in [Planet A sign] sextile Saturn in [Planet B sign] at [calculated date/time]. Preserve this pair meaning: Action meets restriction, timing, and authority. Pressure has to move through rules, limits, permits, deadlines, or a chain of responsibility. For the sextile, apply this behavior: A workable opening appears between the two functions. The opportunity is useful but not automatic; someone still has to notice it and make the specific move. Use the Planet A sign to change how Mars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1" s="27" t="str">
        <x:v>An urgent job receives the permit, crew, or equipment needed for one safe stage to begin. Mars sextile Saturn can create a practical route through a restriction by narrowing the task, adjusting the sequence, or putting the right supervisor in place. One approved step may be enough to restart momentum even if the rest has to wait. Use the permission already granted. Finish the stage that is actually ready instead of turning a limited approval into another argument about everything still blocked.</x:v>
      </x:c>
      <x:c r="U41" s="27" t="str"/>
      <x:c r="V41" s="27" t="str">
        <x:v>READY FOR RUNTIME</x:v>
      </x:c>
    </x:row>
    <x:row r="42">
      <x:c r="A42" s="27" t="n">
        <x:v>41</x:v>
      </x:c>
      <x:c r="B42" s="27" t="str">
        <x:v>sky.mars.conjunction.uranus</x:v>
      </x:c>
      <x:c r="C42" s="27" t="str">
        <x:v>mars</x:v>
      </x:c>
      <x:c r="D42" s="27" t="str">
        <x:v>conjunction</x:v>
      </x:c>
      <x:c r="E42" s="27" t="str">
        <x:v>uranus</x:v>
      </x:c>
      <x:c r="F42" s="27" t="str">
        <x:v>mars|uranus</x:v>
      </x:c>
      <x:c r="G42" s="27" t="str">
        <x:v>Action meets disruption and independence. Fast moves can break a stalemate, create a workaround, or produce avoidable instability.</x:v>
      </x:c>
      <x:c r="H42" s="27" t="str">
        <x:v>The two functions operate inside the same event. Benefit and complication arrive together, so separating one from the other is difficult.</x:v>
      </x:c>
      <x:c r="I42" s="27" t="str">
        <x:v>The two fuse and intensify as they close in.</x:v>
      </x:c>
      <x:c r="J42" s="27" t="str">
        <x:v>The fused theme peaks and discharges.</x:v>
      </x:c>
      <x:c r="K42" s="27" t="str">
        <x:v>[runtime sign]</x:v>
      </x:c>
      <x:c r="L42" s="27" t="str">
        <x:v>[lookup Body|Sign]</x:v>
      </x:c>
      <x:c r="M42" s="27" t="str">
        <x:v>[runtime sign]</x:v>
      </x:c>
      <x:c r="N42" s="27" t="str">
        <x:v>[lookup Body|Sign]</x:v>
      </x:c>
      <x:c r="O42" s="27" t="str">
        <x:v>[runtime local datetime]</x:v>
      </x:c>
      <x:c r="P42" s="27" t="str">
        <x:v>[runtime orb]</x:v>
      </x:c>
      <x:c r="Q42" s="27" t="str">
        <x:v>[applying / exact / separating]</x:v>
      </x:c>
      <x:c r="R42" s="27" t="str">
        <x:v>[runtime flags]</x:v>
      </x:c>
      <x:c r="S42" s="27" t="str">
        <x:v>Write one integrated collective Sky Calendar forecast for Mars in [Planet A sign] conjunction Uranus in [Planet B sign] at [calculated date/time]. Preserve this pair meaning: Action meets disruption and independence. Fast moves can break a stalemate, create a workaround, or produce avoidable instability. For the conjunction, apply this behavior: The two functions operate inside the same event. Benefit and complication arrive together, so separating one from the other is difficult. Use the Planet A sign to change how Mars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2" s="27" t="str">
        <x:v>A sudden break forces people to act before a replacement plan exists. Mars conjunct Uranus can make the disruption and the response happen in the same instant: a system goes down, somebody walks out, a rule is ignored, or a risky workaround becomes the only available option. Speed may be necessary, but improvisation creates its own consequences. Stabilize the immediate problem first. Then make sure the temporary fix does not quietly become the new system just because everyone survived the first hour.</x:v>
      </x:c>
      <x:c r="U42" s="27" t="str"/>
      <x:c r="V42" s="27" t="str">
        <x:v>READY FOR RUNTIME</x:v>
      </x:c>
    </x:row>
    <x:row r="43">
      <x:c r="A43" s="27" t="n">
        <x:v>42</x:v>
      </x:c>
      <x:c r="B43" s="27" t="str">
        <x:v>sky.mars.opposition.uranus</x:v>
      </x:c>
      <x:c r="C43" s="27" t="str">
        <x:v>mars</x:v>
      </x:c>
      <x:c r="D43" s="27" t="str">
        <x:v>opposition</x:v>
      </x:c>
      <x:c r="E43" s="27" t="str">
        <x:v>uranus</x:v>
      </x:c>
      <x:c r="F43" s="27" t="str">
        <x:v>mars|uranus</x:v>
      </x:c>
      <x:c r="G43" s="27" t="str">
        <x:v>Action meets disruption and independence. Fast moves can break a stalemate, create a workaround, or produce avoidable instability.</x:v>
      </x:c>
      <x:c r="H43" s="27" t="str">
        <x:v>Two needs or positions face each other directly through different people, roles, institutions, or requirements. The tradeoff has to become explicit.</x:v>
      </x:c>
      <x:c r="I43" s="27" t="str">
        <x:v>A confrontation builds; the other side comes fully into view.</x:v>
      </x:c>
      <x:c r="J43" s="27" t="str">
        <x:v>The standoff resolves into balance or a split.</x:v>
      </x:c>
      <x:c r="K43" s="27" t="str">
        <x:v>[runtime sign]</x:v>
      </x:c>
      <x:c r="L43" s="27" t="str">
        <x:v>[lookup Body|Sign]</x:v>
      </x:c>
      <x:c r="M43" s="27" t="str">
        <x:v>[runtime sign]</x:v>
      </x:c>
      <x:c r="N43" s="27" t="str">
        <x:v>[lookup Body|Sign]</x:v>
      </x:c>
      <x:c r="O43" s="27" t="str">
        <x:v>[runtime local datetime]</x:v>
      </x:c>
      <x:c r="P43" s="27" t="str">
        <x:v>[runtime orb]</x:v>
      </x:c>
      <x:c r="Q43" s="27" t="str">
        <x:v>[applying / exact / separating]</x:v>
      </x:c>
      <x:c r="R43" s="27" t="str">
        <x:v>[runtime flags]</x:v>
      </x:c>
      <x:c r="S43" s="27" t="str">
        <x:v>Write one integrated collective Sky Calendar forecast for Mars in [Planet A sign] opposition Uranus in [Planet B sign] at [calculated date/time]. Preserve this pair meaning: Action meets disruption and independence. Fast moves can break a stalemate, create a workaround, or produce avoidable instability. For the opposition, apply this behavior: Two needs or positions face each other directly through different people, roles, institutions, or requirements. The tradeoff has to become explicit. Use the Planet A sign to change how Mars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3" s="27" t="str">
        <x:v>The person demanding an immediate break faces the people trying to keep a volatile system from collapsing. Mars opposite Uranus can turn a needed change into a standoff over timing, especially when one side sees every delay as complicity and the other sees every abrupt move as another source of damage. The old arrangement may be failing, but the replacement still needs somewhere to land. Name what has to stop now and what must stay functional during the transition. Freedom is easier to defend when the exit plan does not create a second emergency.</x:v>
      </x:c>
      <x:c r="U43" s="27" t="str"/>
      <x:c r="V43" s="27" t="str">
        <x:v>READY FOR RUNTIME</x:v>
      </x:c>
    </x:row>
    <x:row r="44">
      <x:c r="A44" s="27" t="n">
        <x:v>43</x:v>
      </x:c>
      <x:c r="B44" s="27" t="str">
        <x:v>sky.mars.square.uranus</x:v>
      </x:c>
      <x:c r="C44" s="27" t="str">
        <x:v>mars</x:v>
      </x:c>
      <x:c r="D44" s="27" t="str">
        <x:v>square</x:v>
      </x:c>
      <x:c r="E44" s="27" t="str">
        <x:v>uranus</x:v>
      </x:c>
      <x:c r="F44" s="27" t="str">
        <x:v>mars|uranus</x:v>
      </x:c>
      <x:c r="G44" s="27" t="str">
        <x:v>Action meets disruption and independence. Fast moves can break a stalemate, create a workaround, or produce avoidable instability.</x:v>
      </x:c>
      <x:c r="H44" s="27" t="str">
        <x:v>Friction makes the problem difficult to keep absorbing. Pressure repeats or escalates until the plan, rule, behavior, or distribution of responsibility changes.</x:v>
      </x:c>
      <x:c r="I44" s="27" t="str">
        <x:v>Friction builds toward a forced adjustment.</x:v>
      </x:c>
      <x:c r="J44" s="27" t="str">
        <x:v>The crisis passes; what was restructured settles.</x:v>
      </x:c>
      <x:c r="K44" s="27" t="str">
        <x:v>[runtime sign]</x:v>
      </x:c>
      <x:c r="L44" s="27" t="str">
        <x:v>[lookup Body|Sign]</x:v>
      </x:c>
      <x:c r="M44" s="27" t="str">
        <x:v>[runtime sign]</x:v>
      </x:c>
      <x:c r="N44" s="27" t="str">
        <x:v>[lookup Body|Sign]</x:v>
      </x:c>
      <x:c r="O44" s="27" t="str">
        <x:v>[runtime local datetime]</x:v>
      </x:c>
      <x:c r="P44" s="27" t="str">
        <x:v>[runtime orb]</x:v>
      </x:c>
      <x:c r="Q44" s="27" t="str">
        <x:v>[applying / exact / separating]</x:v>
      </x:c>
      <x:c r="R44" s="27" t="str">
        <x:v>[runtime flags]</x:v>
      </x:c>
      <x:c r="S44" s="27" t="str">
        <x:v>Write one integrated collective Sky Calendar forecast for Mars in [Planet A sign] square Uranus in [Planet B sign] at [calculated date/time]. Preserve this pair meaning: Action meets disruption and independence. Fast moves can break a stalemate, create a workaround, or produce avoidable instability. For the square, apply this behavior: Friction makes the problem difficult to keep absorbing. Pressure repeats or escalates until the plan, rule, behavior, or distribution of responsibility changes. Use the Planet A sign to change how Mars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4" s="27" t="str">
        <x:v>One abrupt move triggers a chain reaction before anyone agrees on what should replace the old plan. Mars square Uranus can make disruption outrun coordination, so a walkout, shutdown, technical change, or public confrontation creates new problems faster than the original one can be solved. The impulse to break the pattern may be right. The timing can still be reckless. Contain the fallout, identify what absolutely has to change, and test the replacement on the smallest scale that still produces useful information.</x:v>
      </x:c>
      <x:c r="U44" s="27" t="str"/>
      <x:c r="V44" s="27" t="str">
        <x:v>READY FOR RUNTIME</x:v>
      </x:c>
    </x:row>
    <x:row r="45">
      <x:c r="A45" s="27" t="n">
        <x:v>44</x:v>
      </x:c>
      <x:c r="B45" s="27" t="str">
        <x:v>sky.mars.trine.uranus</x:v>
      </x:c>
      <x:c r="C45" s="27" t="str">
        <x:v>mars</x:v>
      </x:c>
      <x:c r="D45" s="27" t="str">
        <x:v>trine</x:v>
      </x:c>
      <x:c r="E45" s="27" t="str">
        <x:v>uranus</x:v>
      </x:c>
      <x:c r="F45" s="27" t="str">
        <x:v>mars|uranus</x:v>
      </x:c>
      <x:c r="G45" s="27" t="str">
        <x:v>Action meets disruption and independence. Fast moves can break a stalemate, create a workaround, or produce avoidable instability.</x:v>
      </x:c>
      <x:c r="H45" s="27" t="str">
        <x:v>The two functions support each other easily. Momentum is available with less resistance, which helps progress but can let a weak assumption travel farther.</x:v>
      </x:c>
      <x:c r="I45" s="27" t="str">
        <x:v>Ease and support build and arrive on their own.</x:v>
      </x:c>
      <x:c r="J45" s="27" t="str">
        <x:v>The ease withdraws; the flow passes, used or not.</x:v>
      </x:c>
      <x:c r="K45" s="27" t="str">
        <x:v>[runtime sign]</x:v>
      </x:c>
      <x:c r="L45" s="27" t="str">
        <x:v>[lookup Body|Sign]</x:v>
      </x:c>
      <x:c r="M45" s="27" t="str">
        <x:v>[runtime sign]</x:v>
      </x:c>
      <x:c r="N45" s="27" t="str">
        <x:v>[lookup Body|Sign]</x:v>
      </x:c>
      <x:c r="O45" s="27" t="str">
        <x:v>[runtime local datetime]</x:v>
      </x:c>
      <x:c r="P45" s="27" t="str">
        <x:v>[runtime orb]</x:v>
      </x:c>
      <x:c r="Q45" s="27" t="str">
        <x:v>[applying / exact / separating]</x:v>
      </x:c>
      <x:c r="R45" s="27" t="str">
        <x:v>[runtime flags]</x:v>
      </x:c>
      <x:c r="S45" s="27" t="str">
        <x:v>Write one integrated collective Sky Calendar forecast for Mars in [Planet A sign] trine Uranus in [Planet B sign] at [calculated date/time]. Preserve this pair meaning: Action meets disruption and independence. Fast moves can break a stalemate, create a workaround, or produce avoidable instability. For the trine, apply this behavior: The two functions support each other easily. Momentum is available with less resistance, which helps progress but can let a weak assumption travel farther. Use the Planet A sign to change how Mars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5" s="27" t="str">
        <x:v>A faster method solves the immediate problem without creating a second emergency. Mars trine Uranus can make quick action and innovation work together when the team already understands the risk and has enough freedom to change the method. A shortcut, alternate tool, or new route gets used because it actually improves the result, not because disruption looks exciting. Keep the experiment tied to the problem it solved. The useful change is the one people can repeat after the adrenaline is gone.</x:v>
      </x:c>
      <x:c r="U45" s="27" t="str"/>
      <x:c r="V45" s="27" t="str">
        <x:v>READY FOR RUNTIME</x:v>
      </x:c>
    </x:row>
    <x:row r="46">
      <x:c r="A46" s="27" t="n">
        <x:v>45</x:v>
      </x:c>
      <x:c r="B46" s="27" t="str">
        <x:v>sky.mars.sextile.uranus</x:v>
      </x:c>
      <x:c r="C46" s="27" t="str">
        <x:v>mars</x:v>
      </x:c>
      <x:c r="D46" s="27" t="str">
        <x:v>sextile</x:v>
      </x:c>
      <x:c r="E46" s="27" t="str">
        <x:v>uranus</x:v>
      </x:c>
      <x:c r="F46" s="27" t="str">
        <x:v>mars|uranus</x:v>
      </x:c>
      <x:c r="G46" s="27" t="str">
        <x:v>Action meets disruption and independence. Fast moves can break a stalemate, create a workaround, or produce avoidable instability.</x:v>
      </x:c>
      <x:c r="H46" s="27" t="str">
        <x:v>A workable opening appears between the two functions. The opportunity is useful but not automatic; someone still has to notice it and make the specific move.</x:v>
      </x:c>
      <x:c r="I46" s="27" t="str">
        <x:v>A supportive opening becomes available; offered, not automatic.</x:v>
      </x:c>
      <x:c r="J46" s="27" t="str">
        <x:v>The opening closes; unused, it passes.</x:v>
      </x:c>
      <x:c r="K46" s="27" t="str">
        <x:v>[runtime sign]</x:v>
      </x:c>
      <x:c r="L46" s="27" t="str">
        <x:v>[lookup Body|Sign]</x:v>
      </x:c>
      <x:c r="M46" s="27" t="str">
        <x:v>[runtime sign]</x:v>
      </x:c>
      <x:c r="N46" s="27" t="str">
        <x:v>[lookup Body|Sign]</x:v>
      </x:c>
      <x:c r="O46" s="27" t="str">
        <x:v>[runtime local datetime]</x:v>
      </x:c>
      <x:c r="P46" s="27" t="str">
        <x:v>[runtime orb]</x:v>
      </x:c>
      <x:c r="Q46" s="27" t="str">
        <x:v>[applying / exact / separating]</x:v>
      </x:c>
      <x:c r="R46" s="27" t="str">
        <x:v>[runtime flags]</x:v>
      </x:c>
      <x:c r="S46" s="27" t="str">
        <x:v>Write one integrated collective Sky Calendar forecast for Mars in [Planet A sign] sextile Uranus in [Planet B sign] at [calculated date/time]. Preserve this pair meaning: Action meets disruption and independence. Fast moves can break a stalemate, create a workaround, or produce avoidable instability. For the sextile, apply this behavior: A workable opening appears between the two functions. The opportunity is useful but not automatic; someone still has to notice it and make the specific move. Use the Planet A sign to change how Mars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6" s="27" t="str">
        <x:v>An outdated rule or process opens just enough for someone to try a faster route. Mars sextile Uranus can turn a narrow exception into a practical test, especially when the official method keeps wasting time or creating the same error. One alternate platform, revised form, or temporary workaround may be all the evidence needed to prove there is a better way. Try the change where the cost of failure is manageable. If it works, document the result before the old process closes back around it.</x:v>
      </x:c>
      <x:c r="U46" s="27" t="str"/>
      <x:c r="V46" s="27" t="str">
        <x:v>READY FOR RUNTIME</x:v>
      </x:c>
    </x:row>
    <x:row r="47">
      <x:c r="A47" s="27" t="n">
        <x:v>46</x:v>
      </x:c>
      <x:c r="B47" s="27" t="str">
        <x:v>sky.mercury.conjunction.jupiter</x:v>
      </x:c>
      <x:c r="C47" s="27" t="str">
        <x:v>mercury</x:v>
      </x:c>
      <x:c r="D47" s="27" t="str">
        <x:v>conjunction</x:v>
      </x:c>
      <x:c r="E47" s="27" t="str">
        <x:v>jupiter</x:v>
      </x:c>
      <x:c r="F47" s="27" t="str">
        <x:v>mercury|jupiter</x:v>
      </x:c>
      <x:c r="G47" s="27" t="str">
        <x:v>Information and decisions meet scale and belief. A message can widen reach, enlarge a claim, or turn one idea into a bigger commitment.</x:v>
      </x:c>
      <x:c r="H47" s="27" t="str">
        <x:v>The two functions operate inside the same event. Benefit and complication arrive together, so separating one from the other is difficult.</x:v>
      </x:c>
      <x:c r="I47" s="27" t="str">
        <x:v>The two fuse and intensify as they close in.</x:v>
      </x:c>
      <x:c r="J47" s="27" t="str">
        <x:v>The fused theme peaks and discharges.</x:v>
      </x:c>
      <x:c r="K47" s="27" t="str">
        <x:v>[runtime sign]</x:v>
      </x:c>
      <x:c r="L47" s="27" t="str">
        <x:v>[lookup Body|Sign]</x:v>
      </x:c>
      <x:c r="M47" s="27" t="str">
        <x:v>[runtime sign]</x:v>
      </x:c>
      <x:c r="N47" s="27" t="str">
        <x:v>[lookup Body|Sign]</x:v>
      </x:c>
      <x:c r="O47" s="27" t="str">
        <x:v>[runtime local datetime]</x:v>
      </x:c>
      <x:c r="P47" s="27" t="str">
        <x:v>[runtime orb]</x:v>
      </x:c>
      <x:c r="Q47" s="27" t="str">
        <x:v>[applying / exact / separating]</x:v>
      </x:c>
      <x:c r="R47" s="27" t="str">
        <x:v>[runtime flags]</x:v>
      </x:c>
      <x:c r="S47" s="27" t="str">
        <x:v>Write one integrated collective Sky Calendar forecast for Mercury in [Planet A sign] conjunction Jupiter in [Planet B sign] at [calculated date/time]. Preserve this pair meaning: Information and decisions meet scale and belief. A message can widen reach, enlarge a claim, or turn one idea into a bigger commitment.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7" s="27" t="str">
        <x:v>One announcement turns a local idea into a much larger promise. Mercury conjunct Jupiter can make the message grow with the audience, so a course, campaign, legal decision, or travel plan reaches more people at the exact moment its wording becomes harder to revise. The opportunity may be genuine, but every overstatement now travels farther too. Say what is confirmed and what is still aspirational. A big audience can forgive a limit more easily than it can forgive discovering later that the limit was hidden.</x:v>
      </x:c>
      <x:c r="U47" s="27" t="str"/>
      <x:c r="V47" s="27" t="str">
        <x:v>READY FOR RUNTIME</x:v>
      </x:c>
    </x:row>
    <x:row r="48">
      <x:c r="A48" s="27" t="n">
        <x:v>47</x:v>
      </x:c>
      <x:c r="B48" s="27" t="str">
        <x:v>sky.mercury.opposition.jupiter</x:v>
      </x:c>
      <x:c r="C48" s="27" t="str">
        <x:v>mercury</x:v>
      </x:c>
      <x:c r="D48" s="27" t="str">
        <x:v>opposition</x:v>
      </x:c>
      <x:c r="E48" s="27" t="str">
        <x:v>jupiter</x:v>
      </x:c>
      <x:c r="F48" s="27" t="str">
        <x:v>mercury|jupiter</x:v>
      </x:c>
      <x:c r="G48" s="27" t="str">
        <x:v>Information and decisions meet scale and belief. A message can widen reach, enlarge a claim, or turn one idea into a bigger commitment.</x:v>
      </x:c>
      <x:c r="H48" s="27" t="str">
        <x:v>Two needs or positions face each other directly through different people, roles, institutions, or requirements. The tradeoff has to become explicit.</x:v>
      </x:c>
      <x:c r="I48" s="27" t="str">
        <x:v>A confrontation builds; the other side comes fully into view.</x:v>
      </x:c>
      <x:c r="J48" s="27" t="str">
        <x:v>The standoff resolves into balance or a split.</x:v>
      </x:c>
      <x:c r="K48" s="27" t="str">
        <x:v>[runtime sign]</x:v>
      </x:c>
      <x:c r="L48" s="27" t="str">
        <x:v>[lookup Body|Sign]</x:v>
      </x:c>
      <x:c r="M48" s="27" t="str">
        <x:v>[runtime sign]</x:v>
      </x:c>
      <x:c r="N48" s="27" t="str">
        <x:v>[lookup Body|Sign]</x:v>
      </x:c>
      <x:c r="O48" s="27" t="str">
        <x:v>[runtime local datetime]</x:v>
      </x:c>
      <x:c r="P48" s="27" t="str">
        <x:v>[runtime orb]</x:v>
      </x:c>
      <x:c r="Q48" s="27" t="str">
        <x:v>[applying / exact / separating]</x:v>
      </x:c>
      <x:c r="R48" s="27" t="str">
        <x:v>[runtime flags]</x:v>
      </x:c>
      <x:c r="S48" s="27" t="str">
        <x:v>Write one integrated collective Sky Calendar forecast for Mercury in [Planet A sign] opposition Jupiter in [Planet B sign] at [calculated date/time]. Preserve this pair meaning: Information and decisions meet scale and belief. A message can widen reach, enlarge a claim, or turn one idea into a bigger commitment. For the opposition, apply this behavior: Two needs or positions face each other directly through different people, roles, institutions, or requirements. The tradeoff has to become explicit. Use the Planet A sign to change how Mercury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8" s="27" t="str">
        <x:v>The simple success story meets the report full of limits, exceptions, and mixed results. Mercury opposite Jupiter can put the headline directly across from the fuller explanation, especially when one side wants the message to inspire and the other needs the numbers to remain accurate. The disagreement is not about being positive or negative. It is about how much the claim can carry. Publish the context that materially changes the conclusion, even if it makes the story less impressive.</x:v>
      </x:c>
      <x:c r="U48" s="27" t="str"/>
      <x:c r="V48" s="27" t="str">
        <x:v>READY FOR RUNTIME</x:v>
      </x:c>
    </x:row>
    <x:row r="49">
      <x:c r="A49" s="27" t="n">
        <x:v>48</x:v>
      </x:c>
      <x:c r="B49" s="27" t="str">
        <x:v>sky.mercury.square.jupiter</x:v>
      </x:c>
      <x:c r="C49" s="27" t="str">
        <x:v>mercury</x:v>
      </x:c>
      <x:c r="D49" s="27" t="str">
        <x:v>square</x:v>
      </x:c>
      <x:c r="E49" s="27" t="str">
        <x:v>jupiter</x:v>
      </x:c>
      <x:c r="F49" s="27" t="str">
        <x:v>mercury|jupiter</x:v>
      </x:c>
      <x:c r="G49" s="27" t="str">
        <x:v>Information and decisions meet scale and belief. A message can widen reach, enlarge a claim, or turn one idea into a bigger commitment.</x:v>
      </x:c>
      <x:c r="H49" s="27" t="str">
        <x:v>Friction makes the problem difficult to keep absorbing. Pressure repeats or escalates until the plan, rule, behavior, or distribution of responsibility changes.</x:v>
      </x:c>
      <x:c r="I49" s="27" t="str">
        <x:v>Friction builds toward a forced adjustment.</x:v>
      </x:c>
      <x:c r="J49" s="27" t="str">
        <x:v>The crisis passes; what was restructured settles.</x:v>
      </x:c>
      <x:c r="K49" s="27" t="str">
        <x:v>[runtime sign]</x:v>
      </x:c>
      <x:c r="L49" s="27" t="str">
        <x:v>[lookup Body|Sign]</x:v>
      </x:c>
      <x:c r="M49" s="27" t="str">
        <x:v>[runtime sign]</x:v>
      </x:c>
      <x:c r="N49" s="27" t="str">
        <x:v>[lookup Body|Sign]</x:v>
      </x:c>
      <x:c r="O49" s="27" t="str">
        <x:v>[runtime local datetime]</x:v>
      </x:c>
      <x:c r="P49" s="27" t="str">
        <x:v>[runtime orb]</x:v>
      </x:c>
      <x:c r="Q49" s="27" t="str">
        <x:v>[applying / exact / separating]</x:v>
      </x:c>
      <x:c r="R49" s="27" t="str">
        <x:v>[runtime flags]</x:v>
      </x:c>
      <x:c r="S49" s="27" t="str">
        <x:v>Write one integrated collective Sky Calendar forecast for Mercury in [Planet A sign] square Jupiter in [Planet B sign] at [calculated date/time]. Preserve this pair meaning: Information and decisions meet scale and belief. A message can widen reach, enlarge a claim, or turn one idea into a bigger commitment. For the square, apply this behavior: Friction makes the problem difficult to keep absorbing. Pressure repeats or escalates until the plan, rule, behavior, or distribution of responsibility changes. Use the Planet A sign to change how Mercury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49" s="27" t="str">
        <x:v>A confident statement outruns the evidence needed to defend it. Mercury square Jupiter can turn a useful idea into an overpromise once the wording gets broader than the facts underneath it. One estimate becomes a guarantee, one promising result becomes a trend, or one enthusiastic reply becomes proof that everyone agrees. The sentence may travel farther than the correction. Tighten the claim before someone else has to. State exactly what the evidence shows and stop there.</x:v>
      </x:c>
      <x:c r="U49" s="27" t="str"/>
      <x:c r="V49" s="27" t="str">
        <x:v>READY FOR RUNTIME</x:v>
      </x:c>
    </x:row>
    <x:row r="50">
      <x:c r="A50" s="27" t="n">
        <x:v>49</x:v>
      </x:c>
      <x:c r="B50" s="27" t="str">
        <x:v>sky.mercury.trine.jupiter</x:v>
      </x:c>
      <x:c r="C50" s="27" t="str">
        <x:v>mercury</x:v>
      </x:c>
      <x:c r="D50" s="27" t="str">
        <x:v>trine</x:v>
      </x:c>
      <x:c r="E50" s="27" t="str">
        <x:v>jupiter</x:v>
      </x:c>
      <x:c r="F50" s="27" t="str">
        <x:v>mercury|jupiter</x:v>
      </x:c>
      <x:c r="G50" s="27" t="str">
        <x:v>Information and decisions meet scale and belief. A message can widen reach, enlarge a claim, or turn one idea into a bigger commitment.</x:v>
      </x:c>
      <x:c r="H50" s="27" t="str">
        <x:v>The two functions support each other easily. Momentum is available with less resistance, which helps progress but can let a weak assumption travel farther.</x:v>
      </x:c>
      <x:c r="I50" s="27" t="str">
        <x:v>Ease and support build and arrive on their own.</x:v>
      </x:c>
      <x:c r="J50" s="27" t="str">
        <x:v>The ease withdraws; the flow passes, used or not.</x:v>
      </x:c>
      <x:c r="K50" s="27" t="str">
        <x:v>[runtime sign]</x:v>
      </x:c>
      <x:c r="L50" s="27" t="str">
        <x:v>[lookup Body|Sign]</x:v>
      </x:c>
      <x:c r="M50" s="27" t="str">
        <x:v>[runtime sign]</x:v>
      </x:c>
      <x:c r="N50" s="27" t="str">
        <x:v>[lookup Body|Sign]</x:v>
      </x:c>
      <x:c r="O50" s="27" t="str">
        <x:v>[runtime local datetime]</x:v>
      </x:c>
      <x:c r="P50" s="27" t="str">
        <x:v>[runtime orb]</x:v>
      </x:c>
      <x:c r="Q50" s="27" t="str">
        <x:v>[applying / exact / separating]</x:v>
      </x:c>
      <x:c r="R50" s="27" t="str">
        <x:v>[runtime flags]</x:v>
      </x:c>
      <x:c r="S50" s="27" t="str">
        <x:v>Write one integrated collective Sky Calendar forecast for Mercury in [Planet A sign] trine Jupiter in [Planet B sign] at [calculated date/time]. Preserve this pair meaning: Information and decisions meet scale and belief. A message can widen reach, enlarge a claim, or turn one idea into a bigger commitment. For the trine, apply this behavior: The two functions support each other easily. Momentum is available with less resistance, which helps progress but can let a weak assumption travel farther. Use the Planet A sign to change how Mercury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0" s="27" t="str">
        <x:v>A large idea becomes easier to believe once someone can explain the cost, schedule, and first step. Mercury trine Jupiter can help the message carry the scale of the opportunity without losing the details that make it credible. A proposal, application, publication, or teaching plan lands because the big picture and the practical explanation support each other. This is good timing for making the case. Lead with the reason, then give people the information they need to say yes without guessing what they are agreeing to.</x:v>
      </x:c>
      <x:c r="U50" s="27" t="str"/>
      <x:c r="V50" s="27" t="str">
        <x:v>READY FOR RUNTIME</x:v>
      </x:c>
    </x:row>
    <x:row r="51">
      <x:c r="A51" s="27" t="n">
        <x:v>50</x:v>
      </x:c>
      <x:c r="B51" s="27" t="str">
        <x:v>sky.mercury.sextile.jupiter</x:v>
      </x:c>
      <x:c r="C51" s="27" t="str">
        <x:v>mercury</x:v>
      </x:c>
      <x:c r="D51" s="27" t="str">
        <x:v>sextile</x:v>
      </x:c>
      <x:c r="E51" s="27" t="str">
        <x:v>jupiter</x:v>
      </x:c>
      <x:c r="F51" s="27" t="str">
        <x:v>mercury|jupiter</x:v>
      </x:c>
      <x:c r="G51" s="27" t="str">
        <x:v>Information and decisions meet scale and belief. A message can widen reach, enlarge a claim, or turn one idea into a bigger commitment.</x:v>
      </x:c>
      <x:c r="H51" s="27" t="str">
        <x:v>A workable opening appears between the two functions. The opportunity is useful but not automatic; someone still has to notice it and make the specific move.</x:v>
      </x:c>
      <x:c r="I51" s="27" t="str">
        <x:v>A supportive opening becomes available; offered, not automatic.</x:v>
      </x:c>
      <x:c r="J51" s="27" t="str">
        <x:v>The opening closes; unused, it passes.</x:v>
      </x:c>
      <x:c r="K51" s="27" t="str">
        <x:v>[runtime sign]</x:v>
      </x:c>
      <x:c r="L51" s="27" t="str">
        <x:v>[lookup Body|Sign]</x:v>
      </x:c>
      <x:c r="M51" s="27" t="str">
        <x:v>[runtime sign]</x:v>
      </x:c>
      <x:c r="N51" s="27" t="str">
        <x:v>[lookup Body|Sign]</x:v>
      </x:c>
      <x:c r="O51" s="27" t="str">
        <x:v>[runtime local datetime]</x:v>
      </x:c>
      <x:c r="P51" s="27" t="str">
        <x:v>[runtime orb]</x:v>
      </x:c>
      <x:c r="Q51" s="27" t="str">
        <x:v>[applying / exact / separating]</x:v>
      </x:c>
      <x:c r="R51" s="27" t="str">
        <x:v>[runtime flags]</x:v>
      </x:c>
      <x:c r="S51" s="27" t="str">
        <x:v>Write one integrated collective Sky Calendar forecast for Mercury in [Planet A sign] sextile Jupiter in [Planet B sign] at [calculated date/time]. Preserve this pair meaning: Information and decisions meet scale and belief. A message can widen reach, enlarge a claim, or turn one idea into a bigger commitment.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1" s="27" t="str">
        <x:v>A strong idea finds the person who can help it travel farther. Mercury sextile Jupiter can connect a clear explanation with funding, publication, enrollment, an introduction, or a larger audience. The opportunity grows because the proposal is attached to a specific ask people can answer. Do not bury the request inside a long explanation. Name what is needed, why it matters, and the next step the other person can actually take.</x:v>
      </x:c>
      <x:c r="U51" s="27" t="str"/>
      <x:c r="V51" s="27" t="str">
        <x:v>READY FOR RUNTIME</x:v>
      </x:c>
    </x:row>
    <x:row r="52">
      <x:c r="A52" s="27" t="n">
        <x:v>51</x:v>
      </x:c>
      <x:c r="B52" s="27" t="str">
        <x:v>sky.mercury.conjunction.mars</x:v>
      </x:c>
      <x:c r="C52" s="27" t="str">
        <x:v>mercury</x:v>
      </x:c>
      <x:c r="D52" s="27" t="str">
        <x:v>conjunction</x:v>
      </x:c>
      <x:c r="E52" s="27" t="str">
        <x:v>mars</x:v>
      </x:c>
      <x:c r="F52" s="27" t="str">
        <x:v>mercury|mars</x:v>
      </x:c>
      <x:c r="G52" s="27" t="str">
        <x:v>Words and decisions meet action and conflict. Communication accelerates consequences and can quickly become the thing people act on.</x:v>
      </x:c>
      <x:c r="H52" s="27" t="str">
        <x:v>The two functions operate inside the same event. Benefit and complication arrive together, so separating one from the other is difficult.</x:v>
      </x:c>
      <x:c r="I52" s="27" t="str">
        <x:v>The two fuse and intensify as they close in.</x:v>
      </x:c>
      <x:c r="J52" s="27" t="str">
        <x:v>The fused theme peaks and discharges.</x:v>
      </x:c>
      <x:c r="K52" s="27" t="str">
        <x:v>[runtime sign]</x:v>
      </x:c>
      <x:c r="L52" s="27" t="str">
        <x:v>[lookup Body|Sign]</x:v>
      </x:c>
      <x:c r="M52" s="27" t="str">
        <x:v>[runtime sign]</x:v>
      </x:c>
      <x:c r="N52" s="27" t="str">
        <x:v>[lookup Body|Sign]</x:v>
      </x:c>
      <x:c r="O52" s="27" t="str">
        <x:v>[runtime local datetime]</x:v>
      </x:c>
      <x:c r="P52" s="27" t="str">
        <x:v>[runtime orb]</x:v>
      </x:c>
      <x:c r="Q52" s="27" t="str">
        <x:v>[applying / exact / separating]</x:v>
      </x:c>
      <x:c r="R52" s="27" t="str">
        <x:v>[runtime flags]</x:v>
      </x:c>
      <x:c r="S52" s="27" t="str">
        <x:v>Write one integrated collective Sky Calendar forecast for Mercury in [Planet A sign] conjunction Mars in [Planet B sign] at [calculated date/time]. Preserve this pair meaning: Words and decisions meet action and conflict. Communication accelerates consequences and can quickly become the thing people act on.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2" s="27" t="str">
        <x:v>One sentence sets the entire response in motion. Mercury conjunct Mars can make the message and the action arrive together, so a warning, accusation, instruction, or post triggers a filing, walkout, purchase, confrontation, or emergency call before anyone has time to soften the language. That speed can cut through delay, but careless wording now travels with consequences that are harder to reverse. Say exactly what needs to happen and why. If the sentence is going to start the action, make sure it names the right target.</x:v>
      </x:c>
      <x:c r="U52" s="27" t="str"/>
      <x:c r="V52" s="27" t="str">
        <x:v>READY FOR RUNTIME</x:v>
      </x:c>
    </x:row>
    <x:row r="53">
      <x:c r="A53" s="27" t="n">
        <x:v>52</x:v>
      </x:c>
      <x:c r="B53" s="27" t="str">
        <x:v>sky.mercury.opposition.mars</x:v>
      </x:c>
      <x:c r="C53" s="27" t="str">
        <x:v>mercury</x:v>
      </x:c>
      <x:c r="D53" s="27" t="str">
        <x:v>opposition</x:v>
      </x:c>
      <x:c r="E53" s="27" t="str">
        <x:v>mars</x:v>
      </x:c>
      <x:c r="F53" s="27" t="str">
        <x:v>mercury|mars</x:v>
      </x:c>
      <x:c r="G53" s="27" t="str">
        <x:v>Words and decisions meet action and conflict. Communication accelerates consequences and can quickly become the thing people act on.</x:v>
      </x:c>
      <x:c r="H53" s="27" t="str">
        <x:v>Two needs or positions face each other directly through different people, roles, institutions, or requirements. The tradeoff has to become explicit.</x:v>
      </x:c>
      <x:c r="I53" s="27" t="str">
        <x:v>A confrontation builds; the other side comes fully into view.</x:v>
      </x:c>
      <x:c r="J53" s="27" t="str">
        <x:v>The standoff resolves into balance or a split.</x:v>
      </x:c>
      <x:c r="K53" s="27" t="str">
        <x:v>[runtime sign]</x:v>
      </x:c>
      <x:c r="L53" s="27" t="str">
        <x:v>[lookup Body|Sign]</x:v>
      </x:c>
      <x:c r="M53" s="27" t="str">
        <x:v>[runtime sign]</x:v>
      </x:c>
      <x:c r="N53" s="27" t="str">
        <x:v>[lookup Body|Sign]</x:v>
      </x:c>
      <x:c r="O53" s="27" t="str">
        <x:v>[runtime local datetime]</x:v>
      </x:c>
      <x:c r="P53" s="27" t="str">
        <x:v>[runtime orb]</x:v>
      </x:c>
      <x:c r="Q53" s="27" t="str">
        <x:v>[applying / exact / separating]</x:v>
      </x:c>
      <x:c r="R53" s="27" t="str">
        <x:v>[runtime flags]</x:v>
      </x:c>
      <x:c r="S53" s="27" t="str">
        <x:v>Write one integrated collective Sky Calendar forecast for Mercury in [Planet A sign] opposition Mars in [Planet B sign] at [calculated date/time]. Preserve this pair meaning: Words and decisions meet action and conflict. Communication accelerates consequences and can quickly become the thing people act on. For the opposition, apply this behavior: Two needs or positions face each other directly through different people, roles, institutions, or requirements. The tradeoff has to become explicit. Use the Planet A sign to change how Mercury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3" s="27" t="str">
        <x:v>One side keeps asking questions while the other treats every question as a delay. Mercury opposite Mars can turn missing information into a fight about timing, especially when the planner sees changing terms and the operator sees a clock that is already running out. Explanation and execution both matter here. The team needs enough information to know what it is doing and a point where discussion ends. Decide which unanswered question could materially change the move, answer that one, and stop using the rest to postpone a decision.</x:v>
      </x:c>
      <x:c r="U53" s="27" t="str"/>
      <x:c r="V53" s="27" t="str">
        <x:v>READY FOR RUNTIME</x:v>
      </x:c>
    </x:row>
    <x:row r="54">
      <x:c r="A54" s="27" t="n">
        <x:v>53</x:v>
      </x:c>
      <x:c r="B54" s="27" t="str">
        <x:v>sky.mercury.square.mars</x:v>
      </x:c>
      <x:c r="C54" s="27" t="str">
        <x:v>mercury</x:v>
      </x:c>
      <x:c r="D54" s="27" t="str">
        <x:v>square</x:v>
      </x:c>
      <x:c r="E54" s="27" t="str">
        <x:v>mars</x:v>
      </x:c>
      <x:c r="F54" s="27" t="str">
        <x:v>mercury|mars</x:v>
      </x:c>
      <x:c r="G54" s="27" t="str">
        <x:v>Words and decisions meet action and conflict. Communication accelerates consequences and can quickly become the thing people act on.</x:v>
      </x:c>
      <x:c r="H54" s="27" t="str">
        <x:v>Friction makes the problem difficult to keep absorbing. Pressure repeats or escalates until the plan, rule, behavior, or distribution of responsibility changes.</x:v>
      </x:c>
      <x:c r="I54" s="27" t="str">
        <x:v>Friction builds toward a forced adjustment.</x:v>
      </x:c>
      <x:c r="J54" s="27" t="str">
        <x:v>The crisis passes; what was restructured settles.</x:v>
      </x:c>
      <x:c r="K54" s="27" t="str">
        <x:v>[runtime sign]</x:v>
      </x:c>
      <x:c r="L54" s="27" t="str">
        <x:v>[lookup Body|Sign]</x:v>
      </x:c>
      <x:c r="M54" s="27" t="str">
        <x:v>[runtime sign]</x:v>
      </x:c>
      <x:c r="N54" s="27" t="str">
        <x:v>[lookup Body|Sign]</x:v>
      </x:c>
      <x:c r="O54" s="27" t="str">
        <x:v>[runtime local datetime]</x:v>
      </x:c>
      <x:c r="P54" s="27" t="str">
        <x:v>[runtime orb]</x:v>
      </x:c>
      <x:c r="Q54" s="27" t="str">
        <x:v>[applying / exact / separating]</x:v>
      </x:c>
      <x:c r="R54" s="27" t="str">
        <x:v>[runtime flags]</x:v>
      </x:c>
      <x:c r="S54" s="27" t="str">
        <x:v>Write one integrated collective Sky Calendar forecast for Mercury in [Planet A sign] square Mars in [Planet B sign] at [calculated date/time]. Preserve this pair meaning: Words and decisions meet action and conflict. Communication accelerates consequences and can quickly become the thing people act on. For the square, apply this behavior: Friction makes the problem difficult to keep absorbing. Pressure repeats or escalates until the plan, rule, behavior, or distribution of responsibility changes. Use the Planet A sign to change how Mercury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4" s="27" t="str">
        <x:v>A blunt message turns a solvable problem into a personal confrontation. Mercury square Mars can make every sentence sound like a challenge that requires an immediate reply, so the original question gets buried under arguments about tone, respect, and who started it. The deadline may still be there after the fight, along with damage the task never required. Slow the exchange before sending the next response. State the problem, the answer required, and the deadline, then leave the insult out of the logistics.</x:v>
      </x:c>
      <x:c r="U54" s="27" t="str"/>
      <x:c r="V54" s="27" t="str">
        <x:v>READY FOR RUNTIME</x:v>
      </x:c>
    </x:row>
    <x:row r="55">
      <x:c r="A55" s="27" t="n">
        <x:v>54</x:v>
      </x:c>
      <x:c r="B55" s="27" t="str">
        <x:v>sky.mercury.trine.mars</x:v>
      </x:c>
      <x:c r="C55" s="27" t="str">
        <x:v>mercury</x:v>
      </x:c>
      <x:c r="D55" s="27" t="str">
        <x:v>trine</x:v>
      </x:c>
      <x:c r="E55" s="27" t="str">
        <x:v>mars</x:v>
      </x:c>
      <x:c r="F55" s="27" t="str">
        <x:v>mercury|mars</x:v>
      </x:c>
      <x:c r="G55" s="27" t="str">
        <x:v>Words and decisions meet action and conflict. Communication accelerates consequences and can quickly become the thing people act on.</x:v>
      </x:c>
      <x:c r="H55" s="27" t="str">
        <x:v>The two functions support each other easily. Momentum is available with less resistance, which helps progress but can let a weak assumption travel farther.</x:v>
      </x:c>
      <x:c r="I55" s="27" t="str">
        <x:v>Ease and support build and arrive on their own.</x:v>
      </x:c>
      <x:c r="J55" s="27" t="str">
        <x:v>The ease withdraws; the flow passes, used or not.</x:v>
      </x:c>
      <x:c r="K55" s="27" t="str">
        <x:v>[runtime sign]</x:v>
      </x:c>
      <x:c r="L55" s="27" t="str">
        <x:v>[lookup Body|Sign]</x:v>
      </x:c>
      <x:c r="M55" s="27" t="str">
        <x:v>[runtime sign]</x:v>
      </x:c>
      <x:c r="N55" s="27" t="str">
        <x:v>[lookup Body|Sign]</x:v>
      </x:c>
      <x:c r="O55" s="27" t="str">
        <x:v>[runtime local datetime]</x:v>
      </x:c>
      <x:c r="P55" s="27" t="str">
        <x:v>[runtime orb]</x:v>
      </x:c>
      <x:c r="Q55" s="27" t="str">
        <x:v>[applying / exact / separating]</x:v>
      </x:c>
      <x:c r="R55" s="27" t="str">
        <x:v>[runtime flags]</x:v>
      </x:c>
      <x:c r="S55" s="27" t="str">
        <x:v>Write one integrated collective Sky Calendar forecast for Mercury in [Planet A sign] trine Mars in [Planet B sign] at [calculated date/time]. Preserve this pair meaning: Words and decisions meet action and conflict. Communication accelerates consequences and can quickly become the thing people act on. For the trine, apply this behavior: The two functions support each other easily. Momentum is available with less resistance, which helps progress but can let a weak assumption travel farther. Use the Planet A sign to change how Mercury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5" s="27" t="str">
        <x:v>The instructions reach the people doing the work before urgency turns into confusion. Mercury trine Mars can make speaking and acting reinforce each other, especially when tasks are named, responsibilities are divided, and nobody has to translate a vague order while the deadline keeps closing in. This is useful speed because the message is precise enough to move on. Keep the directions short. Name who owns the first action, what done looks like, and when the next handoff happens.</x:v>
      </x:c>
      <x:c r="U55" s="27" t="str"/>
      <x:c r="V55" s="27" t="str">
        <x:v>READY FOR RUNTIME</x:v>
      </x:c>
    </x:row>
    <x:row r="56">
      <x:c r="A56" s="27" t="n">
        <x:v>55</x:v>
      </x:c>
      <x:c r="B56" s="27" t="str">
        <x:v>sky.mercury.sextile.mars</x:v>
      </x:c>
      <x:c r="C56" s="27" t="str">
        <x:v>mercury</x:v>
      </x:c>
      <x:c r="D56" s="27" t="str">
        <x:v>sextile</x:v>
      </x:c>
      <x:c r="E56" s="27" t="str">
        <x:v>mars</x:v>
      </x:c>
      <x:c r="F56" s="27" t="str">
        <x:v>mercury|mars</x:v>
      </x:c>
      <x:c r="G56" s="27" t="str">
        <x:v>Words and decisions meet action and conflict. Communication accelerates consequences and can quickly become the thing people act on.</x:v>
      </x:c>
      <x:c r="H56" s="27" t="str">
        <x:v>A workable opening appears between the two functions. The opportunity is useful but not automatic; someone still has to notice it and make the specific move.</x:v>
      </x:c>
      <x:c r="I56" s="27" t="str">
        <x:v>A supportive opening becomes available; offered, not automatic.</x:v>
      </x:c>
      <x:c r="J56" s="27" t="str">
        <x:v>The opening closes; unused, it passes.</x:v>
      </x:c>
      <x:c r="K56" s="27" t="str">
        <x:v>[runtime sign]</x:v>
      </x:c>
      <x:c r="L56" s="27" t="str">
        <x:v>[lookup Body|Sign]</x:v>
      </x:c>
      <x:c r="M56" s="27" t="str">
        <x:v>[runtime sign]</x:v>
      </x:c>
      <x:c r="N56" s="27" t="str">
        <x:v>[lookup Body|Sign]</x:v>
      </x:c>
      <x:c r="O56" s="27" t="str">
        <x:v>[runtime local datetime]</x:v>
      </x:c>
      <x:c r="P56" s="27" t="str">
        <x:v>[runtime orb]</x:v>
      </x:c>
      <x:c r="Q56" s="27" t="str">
        <x:v>[applying / exact / separating]</x:v>
      </x:c>
      <x:c r="R56" s="27" t="str">
        <x:v>[runtime flags]</x:v>
      </x:c>
      <x:c r="S56" s="27" t="str">
        <x:v>Write one integrated collective Sky Calendar forecast for Mercury in [Planet A sign] sextile Mars in [Planet B sign] at [calculated date/time]. Preserve this pair meaning: Words and decisions meet action and conflict. Communication accelerates consequences and can quickly become the thing people act on.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6" s="27" t="str">
        <x:v>A direct conversation clears a logistical bottleneck that has held up the work. Mercury sextile Mars can turn one practical question about money, scheduling, supplies, or responsibility into the answer needed to begin. The relief comes from specificity, not from having a longer discussion. Make the call. Ask the question that decides the next move, confirm the answer, and act on it before the conversation expands into every other frustration around the project.</x:v>
      </x:c>
      <x:c r="U56" s="27" t="str"/>
      <x:c r="V56" s="27" t="str">
        <x:v>READY FOR RUNTIME</x:v>
      </x:c>
    </x:row>
    <x:row r="57">
      <x:c r="A57" s="27" t="n">
        <x:v>56</x:v>
      </x:c>
      <x:c r="B57" s="27" t="str">
        <x:v>sky.mercury.conjunction.neptune</x:v>
      </x:c>
      <x:c r="C57" s="27" t="str">
        <x:v>mercury</x:v>
      </x:c>
      <x:c r="D57" s="27" t="str">
        <x:v>conjunction</x:v>
      </x:c>
      <x:c r="E57" s="27" t="str">
        <x:v>neptune</x:v>
      </x:c>
      <x:c r="F57" s="27" t="str">
        <x:v>mercury|neptune</x:v>
      </x:c>
      <x:c r="G57" s="27" t="str">
        <x:v>Facts and language meet imagination, empathy, and ambiguity. A story can make meaning visible or make verification harder.</x:v>
      </x:c>
      <x:c r="H57" s="27" t="str">
        <x:v>The two functions operate inside the same event. Benefit and complication arrive together, so separating one from the other is difficult.</x:v>
      </x:c>
      <x:c r="I57" s="27" t="str">
        <x:v>The two fuse and intensify as they close in.</x:v>
      </x:c>
      <x:c r="J57" s="27" t="str">
        <x:v>The fused theme peaks and discharges.</x:v>
      </x:c>
      <x:c r="K57" s="27" t="str">
        <x:v>[runtime sign]</x:v>
      </x:c>
      <x:c r="L57" s="27" t="str">
        <x:v>[lookup Body|Sign]</x:v>
      </x:c>
      <x:c r="M57" s="27" t="str">
        <x:v>[runtime sign]</x:v>
      </x:c>
      <x:c r="N57" s="27" t="str">
        <x:v>[lookup Body|Sign]</x:v>
      </x:c>
      <x:c r="O57" s="27" t="str">
        <x:v>[runtime local datetime]</x:v>
      </x:c>
      <x:c r="P57" s="27" t="str">
        <x:v>[runtime orb]</x:v>
      </x:c>
      <x:c r="Q57" s="27" t="str">
        <x:v>[applying / exact / separating]</x:v>
      </x:c>
      <x:c r="R57" s="27" t="str">
        <x:v>[runtime flags]</x:v>
      </x:c>
      <x:c r="S57" s="27" t="str">
        <x:v>Write one integrated collective Sky Calendar forecast for Mercury in [Planet A sign] conjunction Neptune in [Planet B sign] at [calculated date/time]. Preserve this pair meaning: Facts and language meet imagination, empathy, and ambiguity. A story can make meaning visible or make verification harder.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7" s="27" t="str">
        <x:v>A message becomes more powerful because nobody can agree on exactly what it promises. Mercury conjunct Neptune can make a speech, post, artistic statement, or private assurance feel meaningful while leaving enough room for each listener to hear the future they want. That ambiguity can build a large audience and a larger disappointment. The problem is not imagination; it is letting imagination stand in for terms. Put the promise into plain language and name what is not guaranteed before people begin planning around different versions of the same message.</x:v>
      </x:c>
      <x:c r="U57" s="27" t="str"/>
      <x:c r="V57" s="27" t="str">
        <x:v>READY FOR RUNTIME</x:v>
      </x:c>
    </x:row>
    <x:row r="58">
      <x:c r="A58" s="27" t="n">
        <x:v>57</x:v>
      </x:c>
      <x:c r="B58" s="27" t="str">
        <x:v>sky.mercury.opposition.neptune</x:v>
      </x:c>
      <x:c r="C58" s="27" t="str">
        <x:v>mercury</x:v>
      </x:c>
      <x:c r="D58" s="27" t="str">
        <x:v>opposition</x:v>
      </x:c>
      <x:c r="E58" s="27" t="str">
        <x:v>neptune</x:v>
      </x:c>
      <x:c r="F58" s="27" t="str">
        <x:v>mercury|neptune</x:v>
      </x:c>
      <x:c r="G58" s="27" t="str">
        <x:v>Facts and language meet imagination, empathy, and ambiguity. A story can make meaning visible or make verification harder.</x:v>
      </x:c>
      <x:c r="H58" s="27" t="str">
        <x:v>Two needs or positions face each other directly through different people, roles, institutions, or requirements. The tradeoff has to become explicit.</x:v>
      </x:c>
      <x:c r="I58" s="27" t="str">
        <x:v>A confrontation builds; the other side comes fully into view.</x:v>
      </x:c>
      <x:c r="J58" s="27" t="str">
        <x:v>The standoff resolves into balance or a split.</x:v>
      </x:c>
      <x:c r="K58" s="27" t="str">
        <x:v>[runtime sign]</x:v>
      </x:c>
      <x:c r="L58" s="27" t="str">
        <x:v>[lookup Body|Sign]</x:v>
      </x:c>
      <x:c r="M58" s="27" t="str">
        <x:v>[runtime sign]</x:v>
      </x:c>
      <x:c r="N58" s="27" t="str">
        <x:v>[lookup Body|Sign]</x:v>
      </x:c>
      <x:c r="O58" s="27" t="str">
        <x:v>[runtime local datetime]</x:v>
      </x:c>
      <x:c r="P58" s="27" t="str">
        <x:v>[runtime orb]</x:v>
      </x:c>
      <x:c r="Q58" s="27" t="str">
        <x:v>[applying / exact / separating]</x:v>
      </x:c>
      <x:c r="R58" s="27" t="str">
        <x:v>[runtime flags]</x:v>
      </x:c>
      <x:c r="S58" s="27" t="str">
        <x:v>Write one integrated collective Sky Calendar forecast for Mercury in [Planet A sign] opposition Neptune in [Planet B sign] at [calculated date/time]. Preserve this pair meaning: Facts and language meet imagination, empathy, and ambiguity. A story can make meaning visible or make verification harder. For the opposition, apply this behavior: Two needs or positions face each other directly through different people, roles, institutions, or requirements. The tradeoff has to become explicit. Use the Planet A sign to change how Mercury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8" s="27" t="str">
        <x:v>The verified account faces a story people prefer because it explains the fear, hope, or outrage more cleanly. Mercury opposite Neptune can put checkable facts directly against a narrative that already feels emotionally true to the people repeating it. Evidence may be stronger and still lose attention to the better story. Do not answer belief with contempt. Show the source, the date, and the detail that materially changes the claim, then be clear about what the record does not prove.</x:v>
      </x:c>
      <x:c r="U58" s="27" t="str"/>
      <x:c r="V58" s="27" t="str">
        <x:v>READY FOR RUNTIME</x:v>
      </x:c>
    </x:row>
    <x:row r="59">
      <x:c r="A59" s="27" t="n">
        <x:v>58</x:v>
      </x:c>
      <x:c r="B59" s="27" t="str">
        <x:v>sky.mercury.square.neptune</x:v>
      </x:c>
      <x:c r="C59" s="27" t="str">
        <x:v>mercury</x:v>
      </x:c>
      <x:c r="D59" s="27" t="str">
        <x:v>square</x:v>
      </x:c>
      <x:c r="E59" s="27" t="str">
        <x:v>neptune</x:v>
      </x:c>
      <x:c r="F59" s="27" t="str">
        <x:v>mercury|neptune</x:v>
      </x:c>
      <x:c r="G59" s="27" t="str">
        <x:v>Facts and language meet imagination, empathy, and ambiguity. A story can make meaning visible or make verification harder.</x:v>
      </x:c>
      <x:c r="H59" s="27" t="str">
        <x:v>Friction makes the problem difficult to keep absorbing. Pressure repeats or escalates until the plan, rule, behavior, or distribution of responsibility changes.</x:v>
      </x:c>
      <x:c r="I59" s="27" t="str">
        <x:v>Friction builds toward a forced adjustment.</x:v>
      </x:c>
      <x:c r="J59" s="27" t="str">
        <x:v>The crisis passes; what was restructured settles.</x:v>
      </x:c>
      <x:c r="K59" s="27" t="str">
        <x:v>[runtime sign]</x:v>
      </x:c>
      <x:c r="L59" s="27" t="str">
        <x:v>[lookup Body|Sign]</x:v>
      </x:c>
      <x:c r="M59" s="27" t="str">
        <x:v>[runtime sign]</x:v>
      </x:c>
      <x:c r="N59" s="27" t="str">
        <x:v>[lookup Body|Sign]</x:v>
      </x:c>
      <x:c r="O59" s="27" t="str">
        <x:v>[runtime local datetime]</x:v>
      </x:c>
      <x:c r="P59" s="27" t="str">
        <x:v>[runtime orb]</x:v>
      </x:c>
      <x:c r="Q59" s="27" t="str">
        <x:v>[applying / exact / separating]</x:v>
      </x:c>
      <x:c r="R59" s="27" t="str">
        <x:v>[runtime flags]</x:v>
      </x:c>
      <x:c r="S59" s="27" t="str">
        <x:v>Write one integrated collective Sky Calendar forecast for Mercury in [Planet A sign] square Neptune in [Planet B sign] at [calculated date/time]. Preserve this pair meaning: Facts and language meet imagination, empathy, and ambiguity. A story can make meaning visible or make verification harder. For the square, apply this behavior: Friction makes the problem difficult to keep absorbing. Pressure repeats or escalates until the plan, rule, behavior, or distribution of responsibility changes. Use the Planet A sign to change how Mercury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59" s="27" t="str">
        <x:v>A rumor travels faster than anyone can check the facts. Mercury square Neptune can make a convincing screenshot, repost, or partial quote feel complete long before anyone verifies the source, time, or missing context. The correction usually arrives with less drama than the wrong version, which means accuracy has to be deliberate. Read twice. Check the original source and the date before forwarding anything that could change what people do next.</x:v>
      </x:c>
      <x:c r="U59" s="27" t="str"/>
      <x:c r="V59" s="27" t="str">
        <x:v>READY FOR RUNTIME</x:v>
      </x:c>
    </x:row>
    <x:row r="60">
      <x:c r="A60" s="27" t="n">
        <x:v>59</x:v>
      </x:c>
      <x:c r="B60" s="27" t="str">
        <x:v>sky.mercury.trine.neptune</x:v>
      </x:c>
      <x:c r="C60" s="27" t="str">
        <x:v>mercury</x:v>
      </x:c>
      <x:c r="D60" s="27" t="str">
        <x:v>trine</x:v>
      </x:c>
      <x:c r="E60" s="27" t="str">
        <x:v>neptune</x:v>
      </x:c>
      <x:c r="F60" s="27" t="str">
        <x:v>mercury|neptune</x:v>
      </x:c>
      <x:c r="G60" s="27" t="str">
        <x:v>Facts and language meet imagination, empathy, and ambiguity. A story can make meaning visible or make verification harder.</x:v>
      </x:c>
      <x:c r="H60" s="27" t="str">
        <x:v>The two functions support each other easily. Momentum is available with less resistance, which helps progress but can let a weak assumption travel farther.</x:v>
      </x:c>
      <x:c r="I60" s="27" t="str">
        <x:v>Ease and support build and arrive on their own.</x:v>
      </x:c>
      <x:c r="J60" s="27" t="str">
        <x:v>The ease withdraws; the flow passes, used or not.</x:v>
      </x:c>
      <x:c r="K60" s="27" t="str">
        <x:v>[runtime sign]</x:v>
      </x:c>
      <x:c r="L60" s="27" t="str">
        <x:v>[lookup Body|Sign]</x:v>
      </x:c>
      <x:c r="M60" s="27" t="str">
        <x:v>[runtime sign]</x:v>
      </x:c>
      <x:c r="N60" s="27" t="str">
        <x:v>[lookup Body|Sign]</x:v>
      </x:c>
      <x:c r="O60" s="27" t="str">
        <x:v>[runtime local datetime]</x:v>
      </x:c>
      <x:c r="P60" s="27" t="str">
        <x:v>[runtime orb]</x:v>
      </x:c>
      <x:c r="Q60" s="27" t="str">
        <x:v>[applying / exact / separating]</x:v>
      </x:c>
      <x:c r="R60" s="27" t="str">
        <x:v>[runtime flags]</x:v>
      </x:c>
      <x:c r="S60" s="27" t="str">
        <x:v>Write one integrated collective Sky Calendar forecast for Mercury in [Planet A sign] trine Neptune in [Planet B sign] at [calculated date/time]. Preserve this pair meaning: Facts and language meet imagination, empathy, and ambiguity. A story can make meaning visible or make verification harder. For the trine, apply this behavior: The two functions support each other easily. Momentum is available with less resistance, which helps progress but can let a weak assumption travel farther. Use the Planet A sign to change how Mercury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0" s="27" t="str">
        <x:v>A difficult story can be told with enough clarity to move people without exploiting the person at its center. Mercury trine Neptune helps fact and feeling support each other, so testimony, reporting, art, or a private conversation can carry grief and meaning while keeping dates, names, and responsibilities intact. The emotional force does not need exaggeration to matter. Preserve the details that can be verified. Let the feeling come from what happened, not from making the story harder than it already is.</x:v>
      </x:c>
      <x:c r="U60" s="27" t="str"/>
      <x:c r="V60" s="27" t="str">
        <x:v>READY FOR RUNTIME</x:v>
      </x:c>
    </x:row>
    <x:row r="61">
      <x:c r="A61" s="27" t="n">
        <x:v>60</x:v>
      </x:c>
      <x:c r="B61" s="27" t="str">
        <x:v>sky.mercury.sextile.neptune</x:v>
      </x:c>
      <x:c r="C61" s="27" t="str">
        <x:v>mercury</x:v>
      </x:c>
      <x:c r="D61" s="27" t="str">
        <x:v>sextile</x:v>
      </x:c>
      <x:c r="E61" s="27" t="str">
        <x:v>neptune</x:v>
      </x:c>
      <x:c r="F61" s="27" t="str">
        <x:v>mercury|neptune</x:v>
      </x:c>
      <x:c r="G61" s="27" t="str">
        <x:v>Facts and language meet imagination, empathy, and ambiguity. A story can make meaning visible or make verification harder.</x:v>
      </x:c>
      <x:c r="H61" s="27" t="str">
        <x:v>A workable opening appears between the two functions. The opportunity is useful but not automatic; someone still has to notice it and make the specific move.</x:v>
      </x:c>
      <x:c r="I61" s="27" t="str">
        <x:v>A supportive opening becomes available; offered, not automatic.</x:v>
      </x:c>
      <x:c r="J61" s="27" t="str">
        <x:v>The opening closes; unused, it passes.</x:v>
      </x:c>
      <x:c r="K61" s="27" t="str">
        <x:v>[runtime sign]</x:v>
      </x:c>
      <x:c r="L61" s="27" t="str">
        <x:v>[lookup Body|Sign]</x:v>
      </x:c>
      <x:c r="M61" s="27" t="str">
        <x:v>[runtime sign]</x:v>
      </x:c>
      <x:c r="N61" s="27" t="str">
        <x:v>[lookup Body|Sign]</x:v>
      </x:c>
      <x:c r="O61" s="27" t="str">
        <x:v>[runtime local datetime]</x:v>
      </x:c>
      <x:c r="P61" s="27" t="str">
        <x:v>[runtime orb]</x:v>
      </x:c>
      <x:c r="Q61" s="27" t="str">
        <x:v>[applying / exact / separating]</x:v>
      </x:c>
      <x:c r="R61" s="27" t="str">
        <x:v>[runtime flags]</x:v>
      </x:c>
      <x:c r="S61" s="27" t="str">
        <x:v>Write one integrated collective Sky Calendar forecast for Mercury in [Planet A sign] sextile Neptune in [Planet B sign] at [calculated date/time]. Preserve this pair meaning: Facts and language meet imagination, empathy, and ambiguity. A story can make meaning visible or make verification harder.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1" s="27" t="str">
        <x:v>A confusing concern becomes understandable after someone finds the image, example, or gentler language that fits it. Mercury sextile Neptune can help a vague fear become a specific request another person can actually answer. The goal is not to flatten the feeling into bullet points; it is to give the feeling enough language to move. Try the example that makes the problem concrete. If the other person understands what happened and what needs to happen next, the translation has done its job.</x:v>
      </x:c>
      <x:c r="U61" s="27" t="str"/>
      <x:c r="V61" s="27" t="str">
        <x:v>READY FOR RUNTIME</x:v>
      </x:c>
    </x:row>
    <x:row r="62">
      <x:c r="A62" s="27" t="n">
        <x:v>61</x:v>
      </x:c>
      <x:c r="B62" s="27" t="str">
        <x:v>sky.mercury.conjunction.pluto</x:v>
      </x:c>
      <x:c r="C62" s="27" t="str">
        <x:v>mercury</x:v>
      </x:c>
      <x:c r="D62" s="27" t="str">
        <x:v>conjunction</x:v>
      </x:c>
      <x:c r="E62" s="27" t="str">
        <x:v>pluto</x:v>
      </x:c>
      <x:c r="F62" s="27" t="str">
        <x:v>mercury|pluto</x:v>
      </x:c>
      <x:c r="G62" s="27" t="str">
        <x:v>Information meets secrecy and leverage. Questions expose who controls records, access, framing, or the official version of events.</x:v>
      </x:c>
      <x:c r="H62" s="27" t="str">
        <x:v>The two functions operate inside the same event. Benefit and complication arrive together, so separating one from the other is difficult.</x:v>
      </x:c>
      <x:c r="I62" s="27" t="str">
        <x:v>The two fuse and intensify as they close in.</x:v>
      </x:c>
      <x:c r="J62" s="27" t="str">
        <x:v>The fused theme peaks and discharges.</x:v>
      </x:c>
      <x:c r="K62" s="27" t="str">
        <x:v>[runtime sign]</x:v>
      </x:c>
      <x:c r="L62" s="27" t="str">
        <x:v>[lookup Body|Sign]</x:v>
      </x:c>
      <x:c r="M62" s="27" t="str">
        <x:v>[runtime sign]</x:v>
      </x:c>
      <x:c r="N62" s="27" t="str">
        <x:v>[lookup Body|Sign]</x:v>
      </x:c>
      <x:c r="O62" s="27" t="str">
        <x:v>[runtime local datetime]</x:v>
      </x:c>
      <x:c r="P62" s="27" t="str">
        <x:v>[runtime orb]</x:v>
      </x:c>
      <x:c r="Q62" s="27" t="str">
        <x:v>[applying / exact / separating]</x:v>
      </x:c>
      <x:c r="R62" s="27" t="str">
        <x:v>[runtime flags]</x:v>
      </x:c>
      <x:c r="S62" s="27" t="str">
        <x:v>Write one integrated collective Sky Calendar forecast for Mercury in [Planet A sign] conjunction Pluto in [Planet B sign] at [calculated date/time]. Preserve this pair meaning: Information meets secrecy and leverage. Questions expose who controls records, access, framing, or the official version of events.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2" s="27" t="str">
        <x:v>One private conversation changes who is trusted with the plan. Mercury conjunct Pluto can bring missing money, withheld information, or an undisclosed agreement into the same moment as the decision about what happens next. Once the hidden arrangement is named, access and loyalty are no longer abstract questions. Preserve the record before the conversation gets rewritten afterward. Ask who knew, who approved, and who had something to gain from keeping the information private.</x:v>
      </x:c>
      <x:c r="U62" s="27" t="str"/>
      <x:c r="V62" s="27" t="str">
        <x:v>READY FOR RUNTIME</x:v>
      </x:c>
    </x:row>
    <x:row r="63">
      <x:c r="A63" s="27" t="n">
        <x:v>62</x:v>
      </x:c>
      <x:c r="B63" s="27" t="str">
        <x:v>sky.mercury.opposition.pluto</x:v>
      </x:c>
      <x:c r="C63" s="27" t="str">
        <x:v>mercury</x:v>
      </x:c>
      <x:c r="D63" s="27" t="str">
        <x:v>opposition</x:v>
      </x:c>
      <x:c r="E63" s="27" t="str">
        <x:v>pluto</x:v>
      </x:c>
      <x:c r="F63" s="27" t="str">
        <x:v>mercury|pluto</x:v>
      </x:c>
      <x:c r="G63" s="27" t="str">
        <x:v>Information meets secrecy and leverage. Questions expose who controls records, access, framing, or the official version of events.</x:v>
      </x:c>
      <x:c r="H63" s="27" t="str">
        <x:v>Two needs or positions face each other directly through different people, roles, institutions, or requirements. The tradeoff has to become explicit.</x:v>
      </x:c>
      <x:c r="I63" s="27" t="str">
        <x:v>A confrontation builds; the other side comes fully into view.</x:v>
      </x:c>
      <x:c r="J63" s="27" t="str">
        <x:v>The standoff resolves into balance or a split.</x:v>
      </x:c>
      <x:c r="K63" s="27" t="str">
        <x:v>[runtime sign]</x:v>
      </x:c>
      <x:c r="L63" s="27" t="str">
        <x:v>[lookup Body|Sign]</x:v>
      </x:c>
      <x:c r="M63" s="27" t="str">
        <x:v>[runtime sign]</x:v>
      </x:c>
      <x:c r="N63" s="27" t="str">
        <x:v>[lookup Body|Sign]</x:v>
      </x:c>
      <x:c r="O63" s="27" t="str">
        <x:v>[runtime local datetime]</x:v>
      </x:c>
      <x:c r="P63" s="27" t="str">
        <x:v>[runtime orb]</x:v>
      </x:c>
      <x:c r="Q63" s="27" t="str">
        <x:v>[applying / exact / separating]</x:v>
      </x:c>
      <x:c r="R63" s="27" t="str">
        <x:v>[runtime flags]</x:v>
      </x:c>
      <x:c r="S63" s="27" t="str">
        <x:v>Write one integrated collective Sky Calendar forecast for Mercury in [Planet A sign] opposition Pluto in [Planet B sign] at [calculated date/time]. Preserve this pair meaning: Information meets secrecy and leverage. Questions expose who controls records, access, framing, or the official version of events. For the opposition, apply this behavior: Two needs or positions face each other directly through different people, roles, institutions, or requirements. The tradeoff has to become explicit. Use the Planet A sign to change how Mercury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3" s="27" t="str">
        <x:v>The person asking for the full record faces the institution determined to limit what can be seen. Mercury opposite Pluto makes the power behind information impossible to ignore: one side keeps the questions specific while the other controls the files, access, and consequences attached to releasing them. The argument is not only about truth. It is about who gets to decide which truth becomes available. Narrow the request to the document, date, or decision that matters most, and put every refusal in writing.</x:v>
      </x:c>
      <x:c r="U63" s="27" t="str"/>
      <x:c r="V63" s="27" t="str">
        <x:v>READY FOR RUNTIME</x:v>
      </x:c>
    </x:row>
    <x:row r="64">
      <x:c r="A64" s="27" t="n">
        <x:v>63</x:v>
      </x:c>
      <x:c r="B64" s="27" t="str">
        <x:v>sky.mercury.square.pluto</x:v>
      </x:c>
      <x:c r="C64" s="27" t="str">
        <x:v>mercury</x:v>
      </x:c>
      <x:c r="D64" s="27" t="str">
        <x:v>square</x:v>
      </x:c>
      <x:c r="E64" s="27" t="str">
        <x:v>pluto</x:v>
      </x:c>
      <x:c r="F64" s="27" t="str">
        <x:v>mercury|pluto</x:v>
      </x:c>
      <x:c r="G64" s="27" t="str">
        <x:v>Information meets secrecy and leverage. Questions expose who controls records, access, framing, or the official version of events.</x:v>
      </x:c>
      <x:c r="H64" s="27" t="str">
        <x:v>Friction makes the problem difficult to keep absorbing. Pressure repeats or escalates until the plan, rule, behavior, or distribution of responsibility changes.</x:v>
      </x:c>
      <x:c r="I64" s="27" t="str">
        <x:v>Friction builds toward a forced adjustment.</x:v>
      </x:c>
      <x:c r="J64" s="27" t="str">
        <x:v>The crisis passes; what was restructured settles.</x:v>
      </x:c>
      <x:c r="K64" s="27" t="str">
        <x:v>[runtime sign]</x:v>
      </x:c>
      <x:c r="L64" s="27" t="str">
        <x:v>[lookup Body|Sign]</x:v>
      </x:c>
      <x:c r="M64" s="27" t="str">
        <x:v>[runtime sign]</x:v>
      </x:c>
      <x:c r="N64" s="27" t="str">
        <x:v>[lookup Body|Sign]</x:v>
      </x:c>
      <x:c r="O64" s="27" t="str">
        <x:v>[runtime local datetime]</x:v>
      </x:c>
      <x:c r="P64" s="27" t="str">
        <x:v>[runtime orb]</x:v>
      </x:c>
      <x:c r="Q64" s="27" t="str">
        <x:v>[applying / exact / separating]</x:v>
      </x:c>
      <x:c r="R64" s="27" t="str">
        <x:v>[runtime flags]</x:v>
      </x:c>
      <x:c r="S64" s="27" t="str">
        <x:v>Write one integrated collective Sky Calendar forecast for Mercury in [Planet A sign] square Pluto in [Planet B sign] at [calculated date/time]. Preserve this pair meaning: Information meets secrecy and leverage. Questions expose who controls records, access, framing, or the official version of events. For the square, apply this behavior: Friction makes the problem difficult to keep absorbing. Pressure repeats or escalates until the plan, rule, behavior, or distribution of responsibility changes. Use the Planet A sign to change how Mercury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4" s="27" t="str">
        <x:v>Two sides use selective leaks and edited messages to control what the public believes happened. Mercury square Pluto can turn communication into a fight over the official history, especially when each release contains enough truth to wound the other side and enough omission to protect its own position. The loudest version is not necessarily the complete one. Save the original records and compare timelines before choosing a side. The missing context is often where the leverage is.</x:v>
      </x:c>
      <x:c r="U64" s="27" t="str"/>
      <x:c r="V64" s="27" t="str">
        <x:v>READY FOR RUNTIME</x:v>
      </x:c>
    </x:row>
    <x:row r="65">
      <x:c r="A65" s="27" t="n">
        <x:v>64</x:v>
      </x:c>
      <x:c r="B65" s="27" t="str">
        <x:v>sky.mercury.trine.pluto</x:v>
      </x:c>
      <x:c r="C65" s="27" t="str">
        <x:v>mercury</x:v>
      </x:c>
      <x:c r="D65" s="27" t="str">
        <x:v>trine</x:v>
      </x:c>
      <x:c r="E65" s="27" t="str">
        <x:v>pluto</x:v>
      </x:c>
      <x:c r="F65" s="27" t="str">
        <x:v>mercury|pluto</x:v>
      </x:c>
      <x:c r="G65" s="27" t="str">
        <x:v>Information meets secrecy and leverage. Questions expose who controls records, access, framing, or the official version of events.</x:v>
      </x:c>
      <x:c r="H65" s="27" t="str">
        <x:v>The two functions support each other easily. Momentum is available with less resistance, which helps progress but can let a weak assumption travel farther.</x:v>
      </x:c>
      <x:c r="I65" s="27" t="str">
        <x:v>Ease and support build and arrive on their own.</x:v>
      </x:c>
      <x:c r="J65" s="27" t="str">
        <x:v>The ease withdraws; the flow passes, used or not.</x:v>
      </x:c>
      <x:c r="K65" s="27" t="str">
        <x:v>[runtime sign]</x:v>
      </x:c>
      <x:c r="L65" s="27" t="str">
        <x:v>[lookup Body|Sign]</x:v>
      </x:c>
      <x:c r="M65" s="27" t="str">
        <x:v>[runtime sign]</x:v>
      </x:c>
      <x:c r="N65" s="27" t="str">
        <x:v>[lookup Body|Sign]</x:v>
      </x:c>
      <x:c r="O65" s="27" t="str">
        <x:v>[runtime local datetime]</x:v>
      </x:c>
      <x:c r="P65" s="27" t="str">
        <x:v>[runtime orb]</x:v>
      </x:c>
      <x:c r="Q65" s="27" t="str">
        <x:v>[applying / exact / separating]</x:v>
      </x:c>
      <x:c r="R65" s="27" t="str">
        <x:v>[runtime flags]</x:v>
      </x:c>
      <x:c r="S65" s="27" t="str">
        <x:v>Write one integrated collective Sky Calendar forecast for Mercury in [Planet A sign] trine Pluto in [Planet B sign] at [calculated date/time]. Preserve this pair meaning: Information meets secrecy and leverage. Questions expose who controls records, access, framing, or the official version of events. For the trine, apply this behavior: The two functions support each other easily. Momentum is available with less resistance, which helps progress but can let a weak assumption travel farther. Use the Planet A sign to change how Mercury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5" s="27" t="str">
        <x:v>A careful investigation connects a private decision to a public result without losing the evidence in drama. Mercury trine Pluto helps documents, interviews, and timelines reveal who knew, who approved, and where the hidden leverage sat. The strongest conclusion is the one the record can actually support. Follow the proof farther than the headline, but do not outrun it. A precise finding carries more weight than a larger accusation the evidence cannot substantiate.</x:v>
      </x:c>
      <x:c r="U65" s="27" t="str"/>
      <x:c r="V65" s="27" t="str">
        <x:v>READY FOR RUNTIME</x:v>
      </x:c>
    </x:row>
    <x:row r="66">
      <x:c r="A66" s="27" t="n">
        <x:v>65</x:v>
      </x:c>
      <x:c r="B66" s="27" t="str">
        <x:v>sky.mercury.sextile.pluto</x:v>
      </x:c>
      <x:c r="C66" s="27" t="str">
        <x:v>mercury</x:v>
      </x:c>
      <x:c r="D66" s="27" t="str">
        <x:v>sextile</x:v>
      </x:c>
      <x:c r="E66" s="27" t="str">
        <x:v>pluto</x:v>
      </x:c>
      <x:c r="F66" s="27" t="str">
        <x:v>mercury|pluto</x:v>
      </x:c>
      <x:c r="G66" s="27" t="str">
        <x:v>Information meets secrecy and leverage. Questions expose who controls records, access, framing, or the official version of events.</x:v>
      </x:c>
      <x:c r="H66" s="27" t="str">
        <x:v>A workable opening appears between the two functions. The opportunity is useful but not automatic; someone still has to notice it and make the specific move.</x:v>
      </x:c>
      <x:c r="I66" s="27" t="str">
        <x:v>A supportive opening becomes available; offered, not automatic.</x:v>
      </x:c>
      <x:c r="J66" s="27" t="str">
        <x:v>The opening closes; unused, it passes.</x:v>
      </x:c>
      <x:c r="K66" s="27" t="str">
        <x:v>[runtime sign]</x:v>
      </x:c>
      <x:c r="L66" s="27" t="str">
        <x:v>[lookup Body|Sign]</x:v>
      </x:c>
      <x:c r="M66" s="27" t="str">
        <x:v>[runtime sign]</x:v>
      </x:c>
      <x:c r="N66" s="27" t="str">
        <x:v>[lookup Body|Sign]</x:v>
      </x:c>
      <x:c r="O66" s="27" t="str">
        <x:v>[runtime local datetime]</x:v>
      </x:c>
      <x:c r="P66" s="27" t="str">
        <x:v>[runtime orb]</x:v>
      </x:c>
      <x:c r="Q66" s="27" t="str">
        <x:v>[applying / exact / separating]</x:v>
      </x:c>
      <x:c r="R66" s="27" t="str">
        <x:v>[runtime flags]</x:v>
      </x:c>
      <x:c r="S66" s="27" t="str">
        <x:v>Write one integrated collective Sky Calendar forecast for Mercury in [Planet A sign] sextile Pluto in [Planet B sign] at [calculated date/time]. Preserve this pair meaning: Information meets secrecy and leverage. Questions expose who controls records, access, framing, or the official version of events.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6" s="27" t="str">
        <x:v>One precise question reaches the record everyone else was willing to leave closed. Mercury sextile Pluto can turn a discrepancy in a budget, contract, timeline, or access log into enough leverage to request the missing document. This is where specificity matters. Do not argue with the official summary if one detail can test it. Ask for the source behind the claim, follow the first refusal, and keep the request narrow enough that an evasive answer becomes obvious.</x:v>
      </x:c>
      <x:c r="U66" s="27" t="str"/>
      <x:c r="V66" s="27" t="str">
        <x:v>READY FOR RUNTIME</x:v>
      </x:c>
    </x:row>
    <x:row r="67">
      <x:c r="A67" s="27" t="n">
        <x:v>66</x:v>
      </x:c>
      <x:c r="B67" s="27" t="str">
        <x:v>sky.mercury.conjunction.saturn</x:v>
      </x:c>
      <x:c r="C67" s="27" t="str">
        <x:v>mercury</x:v>
      </x:c>
      <x:c r="D67" s="27" t="str">
        <x:v>conjunction</x:v>
      </x:c>
      <x:c r="E67" s="27" t="str">
        <x:v>saturn</x:v>
      </x:c>
      <x:c r="F67" s="27" t="str">
        <x:v>mercury|saturn</x:v>
      </x:c>
      <x:c r="G67" s="27" t="str">
        <x:v>Communication meets rules, proof, and authority. The answer is constrained by what can be documented, approved, scheduled, or defended.</x:v>
      </x:c>
      <x:c r="H67" s="27" t="str">
        <x:v>The two functions operate inside the same event. Benefit and complication arrive together, so separating one from the other is difficult.</x:v>
      </x:c>
      <x:c r="I67" s="27" t="str">
        <x:v>The two fuse and intensify as they close in.</x:v>
      </x:c>
      <x:c r="J67" s="27" t="str">
        <x:v>The fused theme peaks and discharges.</x:v>
      </x:c>
      <x:c r="K67" s="27" t="str">
        <x:v>[runtime sign]</x:v>
      </x:c>
      <x:c r="L67" s="27" t="str">
        <x:v>[lookup Body|Sign]</x:v>
      </x:c>
      <x:c r="M67" s="27" t="str">
        <x:v>[runtime sign]</x:v>
      </x:c>
      <x:c r="N67" s="27" t="str">
        <x:v>[lookup Body|Sign]</x:v>
      </x:c>
      <x:c r="O67" s="27" t="str">
        <x:v>[runtime local datetime]</x:v>
      </x:c>
      <x:c r="P67" s="27" t="str">
        <x:v>[runtime orb]</x:v>
      </x:c>
      <x:c r="Q67" s="27" t="str">
        <x:v>[applying / exact / separating]</x:v>
      </x:c>
      <x:c r="R67" s="27" t="str">
        <x:v>[runtime flags]</x:v>
      </x:c>
      <x:c r="S67" s="27" t="str">
        <x:v>Write one integrated collective Sky Calendar forecast for Mercury in [Planet A sign] conjunction Saturn in [Planet B sign] at [calculated date/time]. Preserve this pair meaning: Communication meets rules, proof, and authority. The answer is constrained by what can be documented, approved, scheduled, or defended.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7" s="27" t="str">
        <x:v>The meeting ends with a sentence no one can later pretend they misunderstood. Mercury conjunct Saturn can make the wording and the consequence part of the same official fact, especially in a signed statement, formal warning, binding promise, or documented refusal. The clarity may feel strict, but it protects everyone from a later version of what was supposedly meant. Put the condition, date, responsibility, and consequence in writing. If the answer matters, it should survive being read again next month.</x:v>
      </x:c>
      <x:c r="U67" s="27" t="str"/>
      <x:c r="V67" s="27" t="str">
        <x:v>READY FOR RUNTIME</x:v>
      </x:c>
    </x:row>
    <x:row r="68">
      <x:c r="A68" s="27" t="n">
        <x:v>67</x:v>
      </x:c>
      <x:c r="B68" s="27" t="str">
        <x:v>sky.mercury.opposition.saturn</x:v>
      </x:c>
      <x:c r="C68" s="27" t="str">
        <x:v>mercury</x:v>
      </x:c>
      <x:c r="D68" s="27" t="str">
        <x:v>opposition</x:v>
      </x:c>
      <x:c r="E68" s="27" t="str">
        <x:v>saturn</x:v>
      </x:c>
      <x:c r="F68" s="27" t="str">
        <x:v>mercury|saturn</x:v>
      </x:c>
      <x:c r="G68" s="27" t="str">
        <x:v>Communication meets rules, proof, and authority. The answer is constrained by what can be documented, approved, scheduled, or defended.</x:v>
      </x:c>
      <x:c r="H68" s="27" t="str">
        <x:v>Two needs or positions face each other directly through different people, roles, institutions, or requirements. The tradeoff has to become explicit.</x:v>
      </x:c>
      <x:c r="I68" s="27" t="str">
        <x:v>A confrontation builds; the other side comes fully into view.</x:v>
      </x:c>
      <x:c r="J68" s="27" t="str">
        <x:v>The standoff resolves into balance or a split.</x:v>
      </x:c>
      <x:c r="K68" s="27" t="str">
        <x:v>[runtime sign]</x:v>
      </x:c>
      <x:c r="L68" s="27" t="str">
        <x:v>[lookup Body|Sign]</x:v>
      </x:c>
      <x:c r="M68" s="27" t="str">
        <x:v>[runtime sign]</x:v>
      </x:c>
      <x:c r="N68" s="27" t="str">
        <x:v>[lookup Body|Sign]</x:v>
      </x:c>
      <x:c r="O68" s="27" t="str">
        <x:v>[runtime local datetime]</x:v>
      </x:c>
      <x:c r="P68" s="27" t="str">
        <x:v>[runtime orb]</x:v>
      </x:c>
      <x:c r="Q68" s="27" t="str">
        <x:v>[applying / exact / separating]</x:v>
      </x:c>
      <x:c r="R68" s="27" t="str">
        <x:v>[runtime flags]</x:v>
      </x:c>
      <x:c r="S68" s="27" t="str">
        <x:v>Write one integrated collective Sky Calendar forecast for Mercury in [Planet A sign] opposition Saturn in [Planet B sign] at [calculated date/time]. Preserve this pair meaning: Communication meets rules, proof, and authority. The answer is constrained by what can be documented, approved, scheduled, or defended. For the opposition, apply this behavior: Two needs or positions face each other directly through different people, roles, institutions, or requirements. The tradeoff has to become explicit. Use the Planet A sign to change how Mercury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8" s="27" t="str">
        <x:v>The person requesting an answer faces the official responsible for making every word survive review. Mercury opposite Saturn can put urgency and prior conversations directly against missing proof, limited authority, and the exact language on file. A technically correct answer may still expose how little the earlier reassurance was worth. Ask for the rule behind the refusal and the evidence required to change it. Do not keep negotiating with a promise that never made it into the record.</x:v>
      </x:c>
      <x:c r="U68" s="27" t="str"/>
      <x:c r="V68" s="27" t="str">
        <x:v>READY FOR RUNTIME</x:v>
      </x:c>
    </x:row>
    <x:row r="69">
      <x:c r="A69" s="27" t="n">
        <x:v>68</x:v>
      </x:c>
      <x:c r="B69" s="27" t="str">
        <x:v>sky.mercury.square.saturn</x:v>
      </x:c>
      <x:c r="C69" s="27" t="str">
        <x:v>mercury</x:v>
      </x:c>
      <x:c r="D69" s="27" t="str">
        <x:v>square</x:v>
      </x:c>
      <x:c r="E69" s="27" t="str">
        <x:v>saturn</x:v>
      </x:c>
      <x:c r="F69" s="27" t="str">
        <x:v>mercury|saturn</x:v>
      </x:c>
      <x:c r="G69" s="27" t="str">
        <x:v>Communication meets rules, proof, and authority. The answer is constrained by what can be documented, approved, scheduled, or defended.</x:v>
      </x:c>
      <x:c r="H69" s="27" t="str">
        <x:v>Friction makes the problem difficult to keep absorbing. Pressure repeats or escalates until the plan, rule, behavior, or distribution of responsibility changes.</x:v>
      </x:c>
      <x:c r="I69" s="27" t="str">
        <x:v>Friction builds toward a forced adjustment.</x:v>
      </x:c>
      <x:c r="J69" s="27" t="str">
        <x:v>The crisis passes; what was restructured settles.</x:v>
      </x:c>
      <x:c r="K69" s="27" t="str">
        <x:v>[runtime sign]</x:v>
      </x:c>
      <x:c r="L69" s="27" t="str">
        <x:v>[lookup Body|Sign]</x:v>
      </x:c>
      <x:c r="M69" s="27" t="str">
        <x:v>[runtime sign]</x:v>
      </x:c>
      <x:c r="N69" s="27" t="str">
        <x:v>[lookup Body|Sign]</x:v>
      </x:c>
      <x:c r="O69" s="27" t="str">
        <x:v>[runtime local datetime]</x:v>
      </x:c>
      <x:c r="P69" s="27" t="str">
        <x:v>[runtime orb]</x:v>
      </x:c>
      <x:c r="Q69" s="27" t="str">
        <x:v>[applying / exact / separating]</x:v>
      </x:c>
      <x:c r="R69" s="27" t="str">
        <x:v>[runtime flags]</x:v>
      </x:c>
      <x:c r="S69" s="27" t="str">
        <x:v>Write one integrated collective Sky Calendar forecast for Mercury in [Planet A sign] square Saturn in [Planet B sign] at [calculated date/time]. Preserve this pair meaning: Communication meets rules, proof, and authority. The answer is constrained by what can be documented, approved, scheduled, or defended. For the square, apply this behavior: Friction makes the problem difficult to keep absorbing. Pressure repeats or escalates until the plan, rule, behavior, or distribution of responsibility changes. Use the Planet A sign to change how Mercury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69" s="27" t="str">
        <x:v>A promised answer arrives late and covers far less than what was originally discussed. Mercury square Saturn can turn one request into a chain of revisions, signatures, and formal sign-offs until the response is reduced to the minimum someone is willing to put in writing. The email may satisfy policy while leaving the people who planned around the earlier conversation absorbing the fallout. Read the answer twice. Separate what was approved, denied, and sent back, then ask one direct question about the part that still changes the next move.</x:v>
      </x:c>
      <x:c r="U69" s="27" t="str"/>
      <x:c r="V69" s="27" t="str">
        <x:v>READY FOR RUNTIME</x:v>
      </x:c>
    </x:row>
    <x:row r="70">
      <x:c r="A70" s="27" t="n">
        <x:v>69</x:v>
      </x:c>
      <x:c r="B70" s="27" t="str">
        <x:v>sky.mercury.trine.saturn</x:v>
      </x:c>
      <x:c r="C70" s="27" t="str">
        <x:v>mercury</x:v>
      </x:c>
      <x:c r="D70" s="27" t="str">
        <x:v>trine</x:v>
      </x:c>
      <x:c r="E70" s="27" t="str">
        <x:v>saturn</x:v>
      </x:c>
      <x:c r="F70" s="27" t="str">
        <x:v>mercury|saturn</x:v>
      </x:c>
      <x:c r="G70" s="27" t="str">
        <x:v>Communication meets rules, proof, and authority. The answer is constrained by what can be documented, approved, scheduled, or defended.</x:v>
      </x:c>
      <x:c r="H70" s="27" t="str">
        <x:v>The two functions support each other easily. Momentum is available with less resistance, which helps progress but can let a weak assumption travel farther.</x:v>
      </x:c>
      <x:c r="I70" s="27" t="str">
        <x:v>Ease and support build and arrive on their own.</x:v>
      </x:c>
      <x:c r="J70" s="27" t="str">
        <x:v>The ease withdraws; the flow passes, used or not.</x:v>
      </x:c>
      <x:c r="K70" s="27" t="str">
        <x:v>[runtime sign]</x:v>
      </x:c>
      <x:c r="L70" s="27" t="str">
        <x:v>[lookup Body|Sign]</x:v>
      </x:c>
      <x:c r="M70" s="27" t="str">
        <x:v>[runtime sign]</x:v>
      </x:c>
      <x:c r="N70" s="27" t="str">
        <x:v>[lookup Body|Sign]</x:v>
      </x:c>
      <x:c r="O70" s="27" t="str">
        <x:v>[runtime local datetime]</x:v>
      </x:c>
      <x:c r="P70" s="27" t="str">
        <x:v>[runtime orb]</x:v>
      </x:c>
      <x:c r="Q70" s="27" t="str">
        <x:v>[applying / exact / separating]</x:v>
      </x:c>
      <x:c r="R70" s="27" t="str">
        <x:v>[runtime flags]</x:v>
      </x:c>
      <x:c r="S70" s="27" t="str">
        <x:v>Write one integrated collective Sky Calendar forecast for Mercury in [Planet A sign] trine Saturn in [Planet B sign] at [calculated date/time]. Preserve this pair meaning: Communication meets rules, proof, and authority. The answer is constrained by what can be documented, approved, scheduled, or defended. For the trine, apply this behavior: The two functions support each other easily. Momentum is available with less resistance, which helps progress but can let a weak assumption travel farther. Use the Planet A sign to change how Mercury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0" s="27" t="str">
        <x:v>The final answer arrives with every condition, date, and responsibility clearly stated. Mercury trine Saturn makes the message useful because the language matches the rule it is meant to enforce, so an approval, refusal, contract, or warning can be followed without another call. Strict is easier to work with than vague. Put the important dates somewhere visible and plan from what is actually written, not from the more generous version everyone hoped the answer would become.</x:v>
      </x:c>
      <x:c r="U70" s="27" t="str"/>
      <x:c r="V70" s="27" t="str">
        <x:v>READY FOR RUNTIME</x:v>
      </x:c>
    </x:row>
    <x:row r="71">
      <x:c r="A71" s="27" t="n">
        <x:v>70</x:v>
      </x:c>
      <x:c r="B71" s="27" t="str">
        <x:v>sky.mercury.sextile.saturn</x:v>
      </x:c>
      <x:c r="C71" s="27" t="str">
        <x:v>mercury</x:v>
      </x:c>
      <x:c r="D71" s="27" t="str">
        <x:v>sextile</x:v>
      </x:c>
      <x:c r="E71" s="27" t="str">
        <x:v>saturn</x:v>
      </x:c>
      <x:c r="F71" s="27" t="str">
        <x:v>mercury|saturn</x:v>
      </x:c>
      <x:c r="G71" s="27" t="str">
        <x:v>Communication meets rules, proof, and authority. The answer is constrained by what can be documented, approved, scheduled, or defended.</x:v>
      </x:c>
      <x:c r="H71" s="27" t="str">
        <x:v>A workable opening appears between the two functions. The opportunity is useful but not automatic; someone still has to notice it and make the specific move.</x:v>
      </x:c>
      <x:c r="I71" s="27" t="str">
        <x:v>A supportive opening becomes available; offered, not automatic.</x:v>
      </x:c>
      <x:c r="J71" s="27" t="str">
        <x:v>The opening closes; unused, it passes.</x:v>
      </x:c>
      <x:c r="K71" s="27" t="str">
        <x:v>[runtime sign]</x:v>
      </x:c>
      <x:c r="L71" s="27" t="str">
        <x:v>[lookup Body|Sign]</x:v>
      </x:c>
      <x:c r="M71" s="27" t="str">
        <x:v>[runtime sign]</x:v>
      </x:c>
      <x:c r="N71" s="27" t="str">
        <x:v>[lookup Body|Sign]</x:v>
      </x:c>
      <x:c r="O71" s="27" t="str">
        <x:v>[runtime local datetime]</x:v>
      </x:c>
      <x:c r="P71" s="27" t="str">
        <x:v>[runtime orb]</x:v>
      </x:c>
      <x:c r="Q71" s="27" t="str">
        <x:v>[applying / exact / separating]</x:v>
      </x:c>
      <x:c r="R71" s="27" t="str">
        <x:v>[runtime flags]</x:v>
      </x:c>
      <x:c r="S71" s="27" t="str">
        <x:v>Write one integrated collective Sky Calendar forecast for Mercury in [Planet A sign] sextile Saturn in [Planet B sign] at [calculated date/time]. Preserve this pair meaning: Communication meets rules, proof, and authority. The answer is constrained by what can be documented, approved, scheduled, or defended.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1" s="27" t="str">
        <x:v>A delayed answer moves after someone supplies the missing proof in exactly the required form. Mercury sextile Saturn can turn one corrected line, signature, document, or responsible contact into the condition that releases part of the request. The result may be smaller than originally hoped for, but the portion that clears is solid enough to rely on. Give the reviewer the exact evidence being requested. Once that piece is accepted, build from the answer already on the page instead of reopening the entire case.</x:v>
      </x:c>
      <x:c r="U71" s="27" t="str"/>
      <x:c r="V71" s="27" t="str">
        <x:v>READY FOR RUNTIME</x:v>
      </x:c>
    </x:row>
    <x:row r="72">
      <x:c r="A72" s="27" t="n">
        <x:v>71</x:v>
      </x:c>
      <x:c r="B72" s="27" t="str">
        <x:v>sky.mercury.conjunction.uranus</x:v>
      </x:c>
      <x:c r="C72" s="27" t="str">
        <x:v>mercury</x:v>
      </x:c>
      <x:c r="D72" s="27" t="str">
        <x:v>conjunction</x:v>
      </x:c>
      <x:c r="E72" s="27" t="str">
        <x:v>uranus</x:v>
      </x:c>
      <x:c r="F72" s="27" t="str">
        <x:v>mercury|uranus</x:v>
      </x:c>
      <x:c r="G72" s="27" t="str">
        <x:v>Information meets disruption and innovation. Unexpected news or a new method can change the direction of the conversation quickly.</x:v>
      </x:c>
      <x:c r="H72" s="27" t="str">
        <x:v>The two functions operate inside the same event. Benefit and complication arrive together, so separating one from the other is difficult.</x:v>
      </x:c>
      <x:c r="I72" s="27" t="str">
        <x:v>The two fuse and intensify as they close in.</x:v>
      </x:c>
      <x:c r="J72" s="27" t="str">
        <x:v>The fused theme peaks and discharges.</x:v>
      </x:c>
      <x:c r="K72" s="27" t="str">
        <x:v>[runtime sign]</x:v>
      </x:c>
      <x:c r="L72" s="27" t="str">
        <x:v>[lookup Body|Sign]</x:v>
      </x:c>
      <x:c r="M72" s="27" t="str">
        <x:v>[runtime sign]</x:v>
      </x:c>
      <x:c r="N72" s="27" t="str">
        <x:v>[lookup Body|Sign]</x:v>
      </x:c>
      <x:c r="O72" s="27" t="str">
        <x:v>[runtime local datetime]</x:v>
      </x:c>
      <x:c r="P72" s="27" t="str">
        <x:v>[runtime orb]</x:v>
      </x:c>
      <x:c r="Q72" s="27" t="str">
        <x:v>[applying / exact / separating]</x:v>
      </x:c>
      <x:c r="R72" s="27" t="str">
        <x:v>[runtime flags]</x:v>
      </x:c>
      <x:c r="S72" s="27" t="str">
        <x:v>Write one integrated collective Sky Calendar forecast for Mercury in [Planet A sign] conjunction Uranus in [Planet B sign] at [calculated date/time]. Preserve this pair meaning: Information meets disruption and innovation. Unexpected news or a new method can change the direction of the conversation quickly.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2" s="27" t="str">
        <x:v>One message changes the direction of the entire conversation before anyone can prepare a response. Mercury conjunct Uranus can make a leak, alert, resignation note, discovery, or technical breakthrough invalidate the older explanation almost instantly. The information and the break from the old plan arrive together. Speed matters, but everyone still needs to know which facts are confirmed. Share the update, mark what is still changing, and stop pretending the previous plan can remain intact if the new information has already made it obsolete.</x:v>
      </x:c>
      <x:c r="U72" s="27" t="str"/>
      <x:c r="V72" s="27" t="str">
        <x:v>READY FOR RUNTIME</x:v>
      </x:c>
    </x:row>
    <x:row r="73">
      <x:c r="A73" s="27" t="n">
        <x:v>72</x:v>
      </x:c>
      <x:c r="B73" s="27" t="str">
        <x:v>sky.mercury.opposition.uranus</x:v>
      </x:c>
      <x:c r="C73" s="27" t="str">
        <x:v>mercury</x:v>
      </x:c>
      <x:c r="D73" s="27" t="str">
        <x:v>opposition</x:v>
      </x:c>
      <x:c r="E73" s="27" t="str">
        <x:v>uranus</x:v>
      </x:c>
      <x:c r="F73" s="27" t="str">
        <x:v>mercury|uranus</x:v>
      </x:c>
      <x:c r="G73" s="27" t="str">
        <x:v>Information meets disruption and innovation. Unexpected news or a new method can change the direction of the conversation quickly.</x:v>
      </x:c>
      <x:c r="H73" s="27" t="str">
        <x:v>Two needs or positions face each other directly through different people, roles, institutions, or requirements. The tradeoff has to become explicit.</x:v>
      </x:c>
      <x:c r="I73" s="27" t="str">
        <x:v>A confrontation builds; the other side comes fully into view.</x:v>
      </x:c>
      <x:c r="J73" s="27" t="str">
        <x:v>The standoff resolves into balance or a split.</x:v>
      </x:c>
      <x:c r="K73" s="27" t="str">
        <x:v>[runtime sign]</x:v>
      </x:c>
      <x:c r="L73" s="27" t="str">
        <x:v>[lookup Body|Sign]</x:v>
      </x:c>
      <x:c r="M73" s="27" t="str">
        <x:v>[runtime sign]</x:v>
      </x:c>
      <x:c r="N73" s="27" t="str">
        <x:v>[lookup Body|Sign]</x:v>
      </x:c>
      <x:c r="O73" s="27" t="str">
        <x:v>[runtime local datetime]</x:v>
      </x:c>
      <x:c r="P73" s="27" t="str">
        <x:v>[runtime orb]</x:v>
      </x:c>
      <x:c r="Q73" s="27" t="str">
        <x:v>[applying / exact / separating]</x:v>
      </x:c>
      <x:c r="R73" s="27" t="str">
        <x:v>[runtime flags]</x:v>
      </x:c>
      <x:c r="S73" s="27" t="str">
        <x:v>Write one integrated collective Sky Calendar forecast for Mercury in [Planet A sign] opposition Uranus in [Planet B sign] at [calculated date/time]. Preserve this pair meaning: Information meets disruption and innovation. Unexpected news or a new method can change the direction of the conversation quickly. For the opposition, apply this behavior: Two needs or positions face each other directly through different people, roles, institutions, or requirements. The tradeoff has to become explicit. Use the Planet A sign to change how Mercury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3" s="27" t="str">
        <x:v>The official update says the system is under control while users, staff, or residents document a completely different failure. Mercury opposite Uranus puts the approved explanation directly against the live record of outages, errors, and workarounds happening now. Credibility depends on acknowledging the mismatch before somebody outside the institution does. Compare the official timeline with the reports coming from the people using the system. Update the statement when the public has better information than the people writing it.</x:v>
      </x:c>
      <x:c r="U73" s="27" t="str"/>
      <x:c r="V73" s="27" t="str">
        <x:v>READY FOR RUNTIME</x:v>
      </x:c>
    </x:row>
    <x:row r="74">
      <x:c r="A74" s="27" t="n">
        <x:v>73</x:v>
      </x:c>
      <x:c r="B74" s="27" t="str">
        <x:v>sky.mercury.square.uranus</x:v>
      </x:c>
      <x:c r="C74" s="27" t="str">
        <x:v>mercury</x:v>
      </x:c>
      <x:c r="D74" s="27" t="str">
        <x:v>square</x:v>
      </x:c>
      <x:c r="E74" s="27" t="str">
        <x:v>uranus</x:v>
      </x:c>
      <x:c r="F74" s="27" t="str">
        <x:v>mercury|uranus</x:v>
      </x:c>
      <x:c r="G74" s="27" t="str">
        <x:v>Information meets disruption and innovation. Unexpected news or a new method can change the direction of the conversation quickly.</x:v>
      </x:c>
      <x:c r="H74" s="27" t="str">
        <x:v>Friction makes the problem difficult to keep absorbing. Pressure repeats or escalates until the plan, rule, behavior, or distribution of responsibility changes.</x:v>
      </x:c>
      <x:c r="I74" s="27" t="str">
        <x:v>Friction builds toward a forced adjustment.</x:v>
      </x:c>
      <x:c r="J74" s="27" t="str">
        <x:v>The crisis passes; what was restructured settles.</x:v>
      </x:c>
      <x:c r="K74" s="27" t="str">
        <x:v>[runtime sign]</x:v>
      </x:c>
      <x:c r="L74" s="27" t="str">
        <x:v>[lookup Body|Sign]</x:v>
      </x:c>
      <x:c r="M74" s="27" t="str">
        <x:v>[runtime sign]</x:v>
      </x:c>
      <x:c r="N74" s="27" t="str">
        <x:v>[lookup Body|Sign]</x:v>
      </x:c>
      <x:c r="O74" s="27" t="str">
        <x:v>[runtime local datetime]</x:v>
      </x:c>
      <x:c r="P74" s="27" t="str">
        <x:v>[runtime orb]</x:v>
      </x:c>
      <x:c r="Q74" s="27" t="str">
        <x:v>[applying / exact / separating]</x:v>
      </x:c>
      <x:c r="R74" s="27" t="str">
        <x:v>[runtime flags]</x:v>
      </x:c>
      <x:c r="S74" s="27" t="str">
        <x:v>Write one integrated collective Sky Calendar forecast for Mercury in [Planet A sign] square Uranus in [Planet B sign] at [calculated date/time]. Preserve this pair meaning: Information meets disruption and innovation. Unexpected news or a new method can change the direction of the conversation quickly. For the square, apply this behavior: Friction makes the problem difficult to keep absorbing. Pressure repeats or escalates until the plan, rule, behavior, or distribution of responsibility changes. Use the Planet A sign to change how Mercury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4" s="27" t="str">
        <x:v>Unexpected news reaches the public before the people responsible for explaining it have the same information. Mercury square Uranus can make every correction compete with a newer screenshot, alert, or conflicting instruction, teaching people to trust speed over the source meant to verify it. The answer may change in real time. That is not a reason to guess. State what is confirmed, timestamp the update, and tell people when the next verified answer is coming.</x:v>
      </x:c>
      <x:c r="U74" s="27" t="str"/>
      <x:c r="V74" s="27" t="str">
        <x:v>READY FOR RUNTIME</x:v>
      </x:c>
    </x:row>
    <x:row r="75">
      <x:c r="A75" s="27" t="n">
        <x:v>74</x:v>
      </x:c>
      <x:c r="B75" s="27" t="str">
        <x:v>sky.mercury.trine.uranus</x:v>
      </x:c>
      <x:c r="C75" s="27" t="str">
        <x:v>mercury</x:v>
      </x:c>
      <x:c r="D75" s="27" t="str">
        <x:v>trine</x:v>
      </x:c>
      <x:c r="E75" s="27" t="str">
        <x:v>uranus</x:v>
      </x:c>
      <x:c r="F75" s="27" t="str">
        <x:v>mercury|uranus</x:v>
      </x:c>
      <x:c r="G75" s="27" t="str">
        <x:v>Information meets disruption and innovation. Unexpected news or a new method can change the direction of the conversation quickly.</x:v>
      </x:c>
      <x:c r="H75" s="27" t="str">
        <x:v>The two functions support each other easily. Momentum is available with less resistance, which helps progress but can let a weak assumption travel farther.</x:v>
      </x:c>
      <x:c r="I75" s="27" t="str">
        <x:v>Ease and support build and arrive on their own.</x:v>
      </x:c>
      <x:c r="J75" s="27" t="str">
        <x:v>The ease withdraws; the flow passes, used or not.</x:v>
      </x:c>
      <x:c r="K75" s="27" t="str">
        <x:v>[runtime sign]</x:v>
      </x:c>
      <x:c r="L75" s="27" t="str">
        <x:v>[lookup Body|Sign]</x:v>
      </x:c>
      <x:c r="M75" s="27" t="str">
        <x:v>[runtime sign]</x:v>
      </x:c>
      <x:c r="N75" s="27" t="str">
        <x:v>[lookup Body|Sign]</x:v>
      </x:c>
      <x:c r="O75" s="27" t="str">
        <x:v>[runtime local datetime]</x:v>
      </x:c>
      <x:c r="P75" s="27" t="str">
        <x:v>[runtime orb]</x:v>
      </x:c>
      <x:c r="Q75" s="27" t="str">
        <x:v>[applying / exact / separating]</x:v>
      </x:c>
      <x:c r="R75" s="27" t="str">
        <x:v>[runtime flags]</x:v>
      </x:c>
      <x:c r="S75" s="27" t="str">
        <x:v>Write one integrated collective Sky Calendar forecast for Mercury in [Planet A sign] trine Uranus in [Planet B sign] at [calculated date/time]. Preserve this pair meaning: Information meets disruption and innovation. Unexpected news or a new method can change the direction of the conversation quickly. For the trine, apply this behavior: The two functions support each other easily. Momentum is available with less resistance, which helps progress but can let a weak assumption travel farther. Use the Planet A sign to change how Mercury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5" s="27" t="str">
        <x:v>Spotting one detail everyone else glossed over fixes a problem that has been costing time and money. Mercury trine Uranus can make a small correction travel through the system quickly, especially when an outdated form, setting, or process is the thing causing the larger blockage. The fix may look minor on paper while the workflow gets dramatically easier. Make the change and document why it worked. The useful insight is the one the next person does not have to rediscover from scratch.</x:v>
      </x:c>
      <x:c r="U75" s="27" t="str"/>
      <x:c r="V75" s="27" t="str">
        <x:v>READY FOR RUNTIME</x:v>
      </x:c>
    </x:row>
    <x:row r="76">
      <x:c r="A76" s="27" t="n">
        <x:v>75</x:v>
      </x:c>
      <x:c r="B76" s="27" t="str">
        <x:v>sky.mercury.sextile.uranus</x:v>
      </x:c>
      <x:c r="C76" s="27" t="str">
        <x:v>mercury</x:v>
      </x:c>
      <x:c r="D76" s="27" t="str">
        <x:v>sextile</x:v>
      </x:c>
      <x:c r="E76" s="27" t="str">
        <x:v>uranus</x:v>
      </x:c>
      <x:c r="F76" s="27" t="str">
        <x:v>mercury|uranus</x:v>
      </x:c>
      <x:c r="G76" s="27" t="str">
        <x:v>Information meets disruption and innovation. Unexpected news or a new method can change the direction of the conversation quickly.</x:v>
      </x:c>
      <x:c r="H76" s="27" t="str">
        <x:v>A workable opening appears between the two functions. The opportunity is useful but not automatic; someone still has to notice it and make the specific move.</x:v>
      </x:c>
      <x:c r="I76" s="27" t="str">
        <x:v>A supportive opening becomes available; offered, not automatic.</x:v>
      </x:c>
      <x:c r="J76" s="27" t="str">
        <x:v>The opening closes; unused, it passes.</x:v>
      </x:c>
      <x:c r="K76" s="27" t="str">
        <x:v>[runtime sign]</x:v>
      </x:c>
      <x:c r="L76" s="27" t="str">
        <x:v>[lookup Body|Sign]</x:v>
      </x:c>
      <x:c r="M76" s="27" t="str">
        <x:v>[runtime sign]</x:v>
      </x:c>
      <x:c r="N76" s="27" t="str">
        <x:v>[lookup Body|Sign]</x:v>
      </x:c>
      <x:c r="O76" s="27" t="str">
        <x:v>[runtime local datetime]</x:v>
      </x:c>
      <x:c r="P76" s="27" t="str">
        <x:v>[runtime orb]</x:v>
      </x:c>
      <x:c r="Q76" s="27" t="str">
        <x:v>[applying / exact / separating]</x:v>
      </x:c>
      <x:c r="R76" s="27" t="str">
        <x:v>[runtime flags]</x:v>
      </x:c>
      <x:c r="S76" s="27" t="str">
        <x:v>Write one integrated collective Sky Calendar forecast for Mercury in [Planet A sign] sextile Uranus in [Planet B sign] at [calculated date/time]. Preserve this pair meaning: Information meets disruption and innovation. Unexpected news or a new method can change the direction of the conversation quickly.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6" s="27" t="str">
        <x:v>One unusual suggestion gives a stalled process a faster way forward. Mercury sextile Uranus can help a staff member test a shortcut, alternate platform, or revised form after noticing that the official route keeps creating the same error. The idea earns support because it fixes the delay without throwing out the information the system still needs. Try it on one task first. If the result holds, show the time saved and the problem removed before asking everyone else to change their workflow.</x:v>
      </x:c>
      <x:c r="U76" s="27" t="str"/>
      <x:c r="V76" s="27" t="str">
        <x:v>READY FOR RUNTIME</x:v>
      </x:c>
    </x:row>
    <x:row r="77">
      <x:c r="A77" s="27" t="n">
        <x:v>76</x:v>
      </x:c>
      <x:c r="B77" s="27" t="str">
        <x:v>sky.mercury.conjunction.venus</x:v>
      </x:c>
      <x:c r="C77" s="27" t="str">
        <x:v>mercury</x:v>
      </x:c>
      <x:c r="D77" s="27" t="str">
        <x:v>conjunction</x:v>
      </x:c>
      <x:c r="E77" s="27" t="str">
        <x:v>venus</x:v>
      </x:c>
      <x:c r="F77" s="27" t="str">
        <x:v>mercury|venus</x:v>
      </x:c>
      <x:c r="G77" s="27" t="str">
        <x:v>Communication meets value, agreement, and relationship. Wording can protect goodwill, clarify price, or change the terms of an exchange.</x:v>
      </x:c>
      <x:c r="H77" s="27" t="str">
        <x:v>The two functions operate inside the same event. Benefit and complication arrive together, so separating one from the other is difficult.</x:v>
      </x:c>
      <x:c r="I77" s="27" t="str">
        <x:v>The two fuse and intensify as they close in.</x:v>
      </x:c>
      <x:c r="J77" s="27" t="str">
        <x:v>The fused theme peaks and discharges.</x:v>
      </x:c>
      <x:c r="K77" s="27" t="str">
        <x:v>[runtime sign]</x:v>
      </x:c>
      <x:c r="L77" s="27" t="str">
        <x:v>[lookup Body|Sign]</x:v>
      </x:c>
      <x:c r="M77" s="27" t="str">
        <x:v>[runtime sign]</x:v>
      </x:c>
      <x:c r="N77" s="27" t="str">
        <x:v>[lookup Body|Sign]</x:v>
      </x:c>
      <x:c r="O77" s="27" t="str">
        <x:v>[runtime local datetime]</x:v>
      </x:c>
      <x:c r="P77" s="27" t="str">
        <x:v>[runtime orb]</x:v>
      </x:c>
      <x:c r="Q77" s="27" t="str">
        <x:v>[applying / exact / separating]</x:v>
      </x:c>
      <x:c r="R77" s="27" t="str">
        <x:v>[runtime flags]</x:v>
      </x:c>
      <x:c r="S77" s="27" t="str">
        <x:v>Write one integrated collective Sky Calendar forecast for Mercury in [Planet A sign] conjunction Venus in [Planet B sign] at [calculated date/time]. Preserve this pair meaning: Communication meets value, agreement, and relationship. Wording can protect goodwill, clarify price, or change the terms of an exchange. For the conjunction, apply this behavior: The two functions operate inside the same event. Benefit and complication arrive together, so separating one from the other is difficult. Use the Planet A sign to change how Mercury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7" s="27" t="str">
        <x:v>A public announcement turns a private agreement into a social fact. Mercury conjunct Venus can make the wording part of the agreement itself, especially when a partnership, payment, invitation, creative deal, or change in status is being named for other people. The language now shapes how the relationship will be understood. Be precise about the terms before the announcement travels farther than the conversation that created them. If the public version and the private agreement do not match, fix that before asking everyone else to celebrate.</x:v>
      </x:c>
      <x:c r="U77" s="27" t="str"/>
      <x:c r="V77" s="27" t="str">
        <x:v>READY FOR RUNTIME</x:v>
      </x:c>
    </x:row>
    <x:row r="78">
      <x:c r="A78" s="27" t="n">
        <x:v>77</x:v>
      </x:c>
      <x:c r="B78" s="27" t="str">
        <x:v>sky.mercury.sextile.venus</x:v>
      </x:c>
      <x:c r="C78" s="27" t="str">
        <x:v>mercury</x:v>
      </x:c>
      <x:c r="D78" s="27" t="str">
        <x:v>sextile</x:v>
      </x:c>
      <x:c r="E78" s="27" t="str">
        <x:v>venus</x:v>
      </x:c>
      <x:c r="F78" s="27" t="str">
        <x:v>mercury|venus</x:v>
      </x:c>
      <x:c r="G78" s="27" t="str">
        <x:v>Communication meets value, agreement, and relationship. Wording can protect goodwill, clarify price, or change the terms of an exchange.</x:v>
      </x:c>
      <x:c r="H78" s="27" t="str">
        <x:v>A workable opening appears between the two functions. The opportunity is useful but not automatic; someone still has to notice it and make the specific move.</x:v>
      </x:c>
      <x:c r="I78" s="27" t="str">
        <x:v>A supportive opening becomes available; offered, not automatic.</x:v>
      </x:c>
      <x:c r="J78" s="27" t="str">
        <x:v>The opening closes; unused, it passes.</x:v>
      </x:c>
      <x:c r="K78" s="27" t="str">
        <x:v>[runtime sign]</x:v>
      </x:c>
      <x:c r="L78" s="27" t="str">
        <x:v>[lookup Body|Sign]</x:v>
      </x:c>
      <x:c r="M78" s="27" t="str">
        <x:v>[runtime sign]</x:v>
      </x:c>
      <x:c r="N78" s="27" t="str">
        <x:v>[lookup Body|Sign]</x:v>
      </x:c>
      <x:c r="O78" s="27" t="str">
        <x:v>[runtime local datetime]</x:v>
      </x:c>
      <x:c r="P78" s="27" t="str">
        <x:v>[runtime orb]</x:v>
      </x:c>
      <x:c r="Q78" s="27" t="str">
        <x:v>[applying / exact / separating]</x:v>
      </x:c>
      <x:c r="R78" s="27" t="str">
        <x:v>[runtime flags]</x:v>
      </x:c>
      <x:c r="S78" s="27" t="str">
        <x:v>Write one integrated collective Sky Calendar forecast for Mercury in [Planet A sign] sextile Venus in [Planet B sign] at [calculated date/time]. Preserve this pair meaning: Communication meets value, agreement, and relationship. Wording can protect goodwill, clarify price, or change the terms of an exchange. For the sextile, apply this behavior: A workable opening appears between the two functions. The opportunity is useful but not automatic; someone still has to notice it and make the specific move. Use the Planet A sign to change how Mercury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8" s="27" t="str">
        <x:v>One carefully worded message gives an agreement a chance to survive a difficult correction. Mercury sextile Venus can help someone clarify the price, change the date, or name missing credit without turning the whole exchange into a public complaint. The relationship matters, but politeness cannot carry a correction nobody is willing to make. Send the honest version. State what changed, what needs to be fixed, and what would make the agreement workable again.</x:v>
      </x:c>
      <x:c r="U78" s="27" t="str"/>
      <x:c r="V78" s="27" t="str">
        <x:v>READY FOR RUNTIME</x:v>
      </x:c>
    </x:row>
    <x:row r="79">
      <x:c r="A79" s="27" t="n">
        <x:v>78</x:v>
      </x:c>
      <x:c r="B79" s="27" t="str">
        <x:v>sky.moon.conjunction.jupiter</x:v>
      </x:c>
      <x:c r="C79" s="27" t="str">
        <x:v>moon</x:v>
      </x:c>
      <x:c r="D79" s="27" t="str">
        <x:v>conjunction</x:v>
      </x:c>
      <x:c r="E79" s="27" t="str">
        <x:v>jupiter</x:v>
      </x:c>
      <x:c r="F79" s="27" t="str">
        <x:v>moon|jupiter</x:v>
      </x:c>
      <x:c r="G79" s="27" t="str">
        <x:v>Immediate needs and collective mood meet expansion. Generosity, appetite, reaction, and expectation all become easier to enlarge.</x:v>
      </x:c>
      <x:c r="H79" s="27" t="str">
        <x:v>The two functions operate inside the same event. Benefit and complication arrive together, so separating one from the other is difficult.</x:v>
      </x:c>
      <x:c r="I79" s="27" t="str">
        <x:v>The two fuse and intensify as they close in.</x:v>
      </x:c>
      <x:c r="J79" s="27" t="str">
        <x:v>The fused theme peaks and discharges.</x:v>
      </x:c>
      <x:c r="K79" s="27" t="str">
        <x:v>[runtime sign]</x:v>
      </x:c>
      <x:c r="L79" s="27" t="str">
        <x:v>[lookup Body|Sign]</x:v>
      </x:c>
      <x:c r="M79" s="27" t="str">
        <x:v>[runtime sign]</x:v>
      </x:c>
      <x:c r="N79" s="27" t="str">
        <x:v>[lookup Body|Sign]</x:v>
      </x:c>
      <x:c r="O79" s="27" t="str">
        <x:v>[runtime local datetime]</x:v>
      </x:c>
      <x:c r="P79" s="27" t="str">
        <x:v>[runtime orb]</x:v>
      </x:c>
      <x:c r="Q79" s="27" t="str">
        <x:v>[applying / exact / separating]</x:v>
      </x:c>
      <x:c r="R79" s="27" t="str">
        <x:v>[runtime flags]</x:v>
      </x:c>
      <x:c r="S79" s="27" t="str">
        <x:v>Write one integrated collective Sky Calendar forecast for Moon in [Planet A sign] conjunction Jupiter in [Planet B sign] at [calculated date/time]. Preserve this pair meaning: Immediate needs and collective mood meet expansion. Generosity, appetite, reaction, and expectation all become easier to enlarge.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79" s="27" t="str">
        <x:v>A private need becomes a much larger public response overnight. Moon conjunct Jupiter can make donations, visitors, media attention, or family involvement arrive faster than the person at the center can decide what kind of help they actually want. More care is still more to manage when privacy disappears with it. Ask what support is useful before adding another offer, visitor, or public update. The person receiving the help should not become the coordinator of everyone else's generosity.</x:v>
      </x:c>
      <x:c r="U79" s="27" t="str"/>
      <x:c r="V79" s="27" t="str">
        <x:v>READY FOR RUNTIME</x:v>
      </x:c>
    </x:row>
    <x:row r="80">
      <x:c r="A80" s="27" t="n">
        <x:v>79</x:v>
      </x:c>
      <x:c r="B80" s="27" t="str">
        <x:v>sky.moon.opposition.jupiter</x:v>
      </x:c>
      <x:c r="C80" s="27" t="str">
        <x:v>moon</x:v>
      </x:c>
      <x:c r="D80" s="27" t="str">
        <x:v>opposition</x:v>
      </x:c>
      <x:c r="E80" s="27" t="str">
        <x:v>jupiter</x:v>
      </x:c>
      <x:c r="F80" s="27" t="str">
        <x:v>moon|jupiter</x:v>
      </x:c>
      <x:c r="G80" s="27" t="str">
        <x:v>Immediate needs and collective mood meet expansion. Generosity, appetite, reaction, and expectation all become easier to enlarge.</x:v>
      </x:c>
      <x:c r="H80" s="27" t="str">
        <x:v>Two needs or positions face each other directly through different people, roles, institutions, or requirements. The tradeoff has to become explicit.</x:v>
      </x:c>
      <x:c r="I80" s="27" t="str">
        <x:v>A confrontation builds; the other side comes fully into view.</x:v>
      </x:c>
      <x:c r="J80" s="27" t="str">
        <x:v>The standoff resolves into balance or a split.</x:v>
      </x:c>
      <x:c r="K80" s="27" t="str">
        <x:v>[runtime sign]</x:v>
      </x:c>
      <x:c r="L80" s="27" t="str">
        <x:v>[lookup Body|Sign]</x:v>
      </x:c>
      <x:c r="M80" s="27" t="str">
        <x:v>[runtime sign]</x:v>
      </x:c>
      <x:c r="N80" s="27" t="str">
        <x:v>[lookup Body|Sign]</x:v>
      </x:c>
      <x:c r="O80" s="27" t="str">
        <x:v>[runtime local datetime]</x:v>
      </x:c>
      <x:c r="P80" s="27" t="str">
        <x:v>[runtime orb]</x:v>
      </x:c>
      <x:c r="Q80" s="27" t="str">
        <x:v>[applying / exact / separating]</x:v>
      </x:c>
      <x:c r="R80" s="27" t="str">
        <x:v>[runtime flags]</x:v>
      </x:c>
      <x:c r="S80" s="27" t="str">
        <x:v>Write one integrated collective Sky Calendar forecast for Moon in [Planet A sign] opposition Jupiter in [Planet B sign] at [calculated date/time]. Preserve this pair meaning: Immediate needs and collective mood meet expansion. Generosity, appetite, reaction, and expectation all become easier to enlarge.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0" s="27" t="str">
        <x:v>The public appeal says there is enough support to go around while the people distributing it describe shortages and impossible choices. Moon opposite Jupiter puts the headline total directly against rent, food, beds, time, and the daily limits of care. Money raised is not the same as help delivered. Follow the resources all the way to the people using them. If local workers are still deciding whose need can be met first, the campaign is not finished just because the fundraising goal was reached.</x:v>
      </x:c>
      <x:c r="U80" s="27" t="str"/>
      <x:c r="V80" s="27" t="str">
        <x:v>READY FOR RUNTIME</x:v>
      </x:c>
    </x:row>
    <x:row r="81">
      <x:c r="A81" s="27" t="n">
        <x:v>80</x:v>
      </x:c>
      <x:c r="B81" s="27" t="str">
        <x:v>sky.moon.square.jupiter</x:v>
      </x:c>
      <x:c r="C81" s="27" t="str">
        <x:v>moon</x:v>
      </x:c>
      <x:c r="D81" s="27" t="str">
        <x:v>square</x:v>
      </x:c>
      <x:c r="E81" s="27" t="str">
        <x:v>jupiter</x:v>
      </x:c>
      <x:c r="F81" s="27" t="str">
        <x:v>moon|jupiter</x:v>
      </x:c>
      <x:c r="G81" s="27" t="str">
        <x:v>Immediate needs and collective mood meet expansion. Generosity, appetite, reaction, and expectation all become easier to enlarge.</x:v>
      </x:c>
      <x:c r="H81" s="27" t="str">
        <x:v>Friction makes the problem difficult to keep absorbing. Pressure repeats or escalates until the plan, rule, behavior, or distribution of responsibility changes.</x:v>
      </x:c>
      <x:c r="I81" s="27" t="str">
        <x:v>Friction builds toward a forced adjustment.</x:v>
      </x:c>
      <x:c r="J81" s="27" t="str">
        <x:v>The crisis passes; what was restructured settles.</x:v>
      </x:c>
      <x:c r="K81" s="27" t="str">
        <x:v>[runtime sign]</x:v>
      </x:c>
      <x:c r="L81" s="27" t="str">
        <x:v>[lookup Body|Sign]</x:v>
      </x:c>
      <x:c r="M81" s="27" t="str">
        <x:v>[runtime sign]</x:v>
      </x:c>
      <x:c r="N81" s="27" t="str">
        <x:v>[lookup Body|Sign]</x:v>
      </x:c>
      <x:c r="O81" s="27" t="str">
        <x:v>[runtime local datetime]</x:v>
      </x:c>
      <x:c r="P81" s="27" t="str">
        <x:v>[runtime orb]</x:v>
      </x:c>
      <x:c r="Q81" s="27" t="str">
        <x:v>[applying / exact / separating]</x:v>
      </x:c>
      <x:c r="R81" s="27" t="str">
        <x:v>[runtime flags]</x:v>
      </x:c>
      <x:c r="S81" s="27" t="str">
        <x:v>Write one integrated collective Sky Calendar forecast for Moon in [Planet A sign] square Jupiter in [Planet B sign] at [calculated date/time]. Preserve this pair meaning: Immediate needs and collective mood meet expansion. Generosity, appetite, reaction, and expectation all become easier to enlarge.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1" s="27" t="str">
        <x:v>A generous promise creates more emotional and practical responsibility than anyone planned to carry. Moon square Jupiter can make the guest list, family commitment, or relief effort keep expanding while the same people continue providing meals, rides, beds, and reassurance. Goodwill can become an invisible staffing plan. Count the hours and work required before saying yes to the next person. Support is more generous when the caregivers are not treated as the part of the budget that never runs out.</x:v>
      </x:c>
      <x:c r="U81" s="27" t="str"/>
      <x:c r="V81" s="27" t="str">
        <x:v>READY FOR RUNTIME</x:v>
      </x:c>
    </x:row>
    <x:row r="82">
      <x:c r="A82" s="27" t="n">
        <x:v>81</x:v>
      </x:c>
      <x:c r="B82" s="27" t="str">
        <x:v>sky.moon.trine.jupiter</x:v>
      </x:c>
      <x:c r="C82" s="27" t="str">
        <x:v>moon</x:v>
      </x:c>
      <x:c r="D82" s="27" t="str">
        <x:v>trine</x:v>
      </x:c>
      <x:c r="E82" s="27" t="str">
        <x:v>jupiter</x:v>
      </x:c>
      <x:c r="F82" s="27" t="str">
        <x:v>moon|jupiter</x:v>
      </x:c>
      <x:c r="G82" s="27" t="str">
        <x:v>Immediate needs and collective mood meet expansion. Generosity, appetite, reaction, and expectation all become easier to enlarge.</x:v>
      </x:c>
      <x:c r="H82" s="27" t="str">
        <x:v>The two functions support each other easily. Momentum is available with less resistance, which helps progress but can let a weak assumption travel farther.</x:v>
      </x:c>
      <x:c r="I82" s="27" t="str">
        <x:v>Ease and support build and arrive on their own.</x:v>
      </x:c>
      <x:c r="J82" s="27" t="str">
        <x:v>The ease withdraws; the flow passes, used or not.</x:v>
      </x:c>
      <x:c r="K82" s="27" t="str">
        <x:v>[runtime sign]</x:v>
      </x:c>
      <x:c r="L82" s="27" t="str">
        <x:v>[lookup Body|Sign]</x:v>
      </x:c>
      <x:c r="M82" s="27" t="str">
        <x:v>[runtime sign]</x:v>
      </x:c>
      <x:c r="N82" s="27" t="str">
        <x:v>[lookup Body|Sign]</x:v>
      </x:c>
      <x:c r="O82" s="27" t="str">
        <x:v>[runtime local datetime]</x:v>
      </x:c>
      <x:c r="P82" s="27" t="str">
        <x:v>[runtime orb]</x:v>
      </x:c>
      <x:c r="Q82" s="27" t="str">
        <x:v>[applying / exact / separating]</x:v>
      </x:c>
      <x:c r="R82" s="27" t="str">
        <x:v>[runtime flags]</x:v>
      </x:c>
      <x:c r="S82" s="27" t="str">
        <x:v>Write one integrated collective Sky Calendar forecast for Moon in [Planet A sign] trine Jupiter in [Planet B sign] at [calculated date/time]. Preserve this pair meaning: Immediate needs and collective mood meet expansion. Generosity, appetite, reaction, and expectation all become easier to enlarge.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2" s="27" t="str">
        <x:v>A private need receives a much larger response than expected. Moon trine Jupiter can bring meals, money, childcare, space, or forgiveness without making the person receiving help explain every detail first. The relief can feel almost immediate because people are willing to give more than the minimum. Let the help be easy to receive. Then make sure somebody is still showing up after the first wave of urgency passes, because the need may last longer than the attention around it.</x:v>
      </x:c>
      <x:c r="U82" s="27" t="str"/>
      <x:c r="V82" s="27" t="str">
        <x:v>READY FOR RUNTIME</x:v>
      </x:c>
    </x:row>
    <x:row r="83">
      <x:c r="A83" s="27" t="n">
        <x:v>82</x:v>
      </x:c>
      <x:c r="B83" s="27" t="str">
        <x:v>sky.moon.sextile.jupiter</x:v>
      </x:c>
      <x:c r="C83" s="27" t="str">
        <x:v>moon</x:v>
      </x:c>
      <x:c r="D83" s="27" t="str">
        <x:v>sextile</x:v>
      </x:c>
      <x:c r="E83" s="27" t="str">
        <x:v>jupiter</x:v>
      </x:c>
      <x:c r="F83" s="27" t="str">
        <x:v>moon|jupiter</x:v>
      </x:c>
      <x:c r="G83" s="27" t="str">
        <x:v>Immediate needs and collective mood meet expansion. Generosity, appetite, reaction, and expectation all become easier to enlarge.</x:v>
      </x:c>
      <x:c r="H83" s="27" t="str">
        <x:v>A workable opening appears between the two functions. The opportunity is useful but not automatic; someone still has to notice it and make the specific move.</x:v>
      </x:c>
      <x:c r="I83" s="27" t="str">
        <x:v>A supportive opening becomes available; offered, not automatic.</x:v>
      </x:c>
      <x:c r="J83" s="27" t="str">
        <x:v>The opening closes; unused, it passes.</x:v>
      </x:c>
      <x:c r="K83" s="27" t="str">
        <x:v>[runtime sign]</x:v>
      </x:c>
      <x:c r="L83" s="27" t="str">
        <x:v>[lookup Body|Sign]</x:v>
      </x:c>
      <x:c r="M83" s="27" t="str">
        <x:v>[runtime sign]</x:v>
      </x:c>
      <x:c r="N83" s="27" t="str">
        <x:v>[lookup Body|Sign]</x:v>
      </x:c>
      <x:c r="O83" s="27" t="str">
        <x:v>[runtime local datetime]</x:v>
      </x:c>
      <x:c r="P83" s="27" t="str">
        <x:v>[runtime orb]</x:v>
      </x:c>
      <x:c r="Q83" s="27" t="str">
        <x:v>[applying / exact / separating]</x:v>
      </x:c>
      <x:c r="R83" s="27" t="str">
        <x:v>[runtime flags]</x:v>
      </x:c>
      <x:c r="S83" s="27" t="str">
        <x:v>Write one integrated collective Sky Calendar forecast for Moon in [Planet A sign] sextile Jupiter in [Planet B sign] at [calculated date/time]. Preserve this pair meaning: Immediate needs and collective mood meet expansion. Generosity, appetite, reaction, and expectation all become easier to enlarge.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3" s="27" t="str">
        <x:v>A private need reaches a wider circle and receives more help than one household could provide. Moon sextile Jupiter can open a fund, bring in a community group, or connect the request to people with more time or resources before the original caregiver runs out of both. The important shift is that the burden stops sitting with the same exhausted few. Share the request clearly and name what would actually help. A wider network is useful when each person knows where their contribution belongs.</x:v>
      </x:c>
      <x:c r="U83" s="27" t="str"/>
      <x:c r="V83" s="27" t="str">
        <x:v>READY FOR RUNTIME</x:v>
      </x:c>
    </x:row>
    <x:row r="84">
      <x:c r="A84" s="27" t="n">
        <x:v>83</x:v>
      </x:c>
      <x:c r="B84" s="27" t="str">
        <x:v>sky.moon.conjunction.mars</x:v>
      </x:c>
      <x:c r="C84" s="27" t="str">
        <x:v>moon</x:v>
      </x:c>
      <x:c r="D84" s="27" t="str">
        <x:v>conjunction</x:v>
      </x:c>
      <x:c r="E84" s="27" t="str">
        <x:v>mars</x:v>
      </x:c>
      <x:c r="F84" s="27" t="str">
        <x:v>moon|mars</x:v>
      </x:c>
      <x:c r="G84" s="27" t="str">
        <x:v>Immediate needs and emotional reactions meet action. Concern, anger, protection, or impatience quickly becomes behavior.</x:v>
      </x:c>
      <x:c r="H84" s="27" t="str">
        <x:v>The two functions operate inside the same event. Benefit and complication arrive together, so separating one from the other is difficult.</x:v>
      </x:c>
      <x:c r="I84" s="27" t="str">
        <x:v>The two fuse and intensify as they close in.</x:v>
      </x:c>
      <x:c r="J84" s="27" t="str">
        <x:v>The fused theme peaks and discharges.</x:v>
      </x:c>
      <x:c r="K84" s="27" t="str">
        <x:v>[runtime sign]</x:v>
      </x:c>
      <x:c r="L84" s="27" t="str">
        <x:v>[lookup Body|Sign]</x:v>
      </x:c>
      <x:c r="M84" s="27" t="str">
        <x:v>[runtime sign]</x:v>
      </x:c>
      <x:c r="N84" s="27" t="str">
        <x:v>[lookup Body|Sign]</x:v>
      </x:c>
      <x:c r="O84" s="27" t="str">
        <x:v>[runtime local datetime]</x:v>
      </x:c>
      <x:c r="P84" s="27" t="str">
        <x:v>[runtime orb]</x:v>
      </x:c>
      <x:c r="Q84" s="27" t="str">
        <x:v>[applying / exact / separating]</x:v>
      </x:c>
      <x:c r="R84" s="27" t="str">
        <x:v>[runtime flags]</x:v>
      </x:c>
      <x:c r="S84" s="27" t="str">
        <x:v>Write one integrated collective Sky Calendar forecast for Moon in [Planet A sign] conjunction Mars in [Planet B sign] at [calculated date/time]. Preserve this pair meaning: Immediate needs and emotional reactions meet action. Concern, anger, protection, or impatience quickly becomes behavior.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4" s="27" t="str">
        <x:v>A strong feeling becomes an action before anyone has time to translate it. Moon conjunct Mars can turn anger into a departure, fear into an urgent call, or protectiveness into an intervention while the conflict is still unfolding. The response may be necessary, but it also makes the emotion public and harder to take back. Act on the part that protects someone or solves the immediate problem. Do not let the first surge of feeling decide every consequence that comes after it.</x:v>
      </x:c>
      <x:c r="U84" s="27" t="str"/>
      <x:c r="V84" s="27" t="str">
        <x:v>READY FOR RUNTIME</x:v>
      </x:c>
    </x:row>
    <x:row r="85">
      <x:c r="A85" s="27" t="n">
        <x:v>84</x:v>
      </x:c>
      <x:c r="B85" s="27" t="str">
        <x:v>sky.moon.opposition.mars</x:v>
      </x:c>
      <x:c r="C85" s="27" t="str">
        <x:v>moon</x:v>
      </x:c>
      <x:c r="D85" s="27" t="str">
        <x:v>opposition</x:v>
      </x:c>
      <x:c r="E85" s="27" t="str">
        <x:v>mars</x:v>
      </x:c>
      <x:c r="F85" s="27" t="str">
        <x:v>moon|mars</x:v>
      </x:c>
      <x:c r="G85" s="27" t="str">
        <x:v>Immediate needs and emotional reactions meet action. Concern, anger, protection, or impatience quickly becomes behavior.</x:v>
      </x:c>
      <x:c r="H85" s="27" t="str">
        <x:v>Two needs or positions face each other directly through different people, roles, institutions, or requirements. The tradeoff has to become explicit.</x:v>
      </x:c>
      <x:c r="I85" s="27" t="str">
        <x:v>A confrontation builds; the other side comes fully into view.</x:v>
      </x:c>
      <x:c r="J85" s="27" t="str">
        <x:v>The standoff resolves into balance or a split.</x:v>
      </x:c>
      <x:c r="K85" s="27" t="str">
        <x:v>[runtime sign]</x:v>
      </x:c>
      <x:c r="L85" s="27" t="str">
        <x:v>[lookup Body|Sign]</x:v>
      </x:c>
      <x:c r="M85" s="27" t="str">
        <x:v>[runtime sign]</x:v>
      </x:c>
      <x:c r="N85" s="27" t="str">
        <x:v>[lookup Body|Sign]</x:v>
      </x:c>
      <x:c r="O85" s="27" t="str">
        <x:v>[runtime local datetime]</x:v>
      </x:c>
      <x:c r="P85" s="27" t="str">
        <x:v>[runtime orb]</x:v>
      </x:c>
      <x:c r="Q85" s="27" t="str">
        <x:v>[applying / exact / separating]</x:v>
      </x:c>
      <x:c r="R85" s="27" t="str">
        <x:v>[runtime flags]</x:v>
      </x:c>
      <x:c r="S85" s="27" t="str">
        <x:v>Write one integrated collective Sky Calendar forecast for Moon in [Planet A sign] opposition Mars in [Planet B sign] at [calculated date/time]. Preserve this pair meaning: Immediate needs and emotional reactions meet action. Concern, anger, protection, or impatience quickly becomes behavior.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5" s="27" t="str">
        <x:v>The people trying to protect a routine face the person insisting that disruption is necessary now. Moon opposite Mars can make one side defend children, health, housing, or the need for calm while the other points to danger, urgency, or work that cannot wait. The decision may still need to happen quickly. That does not make the cost of disruption imaginary. Name who needs protection during the change and build that into the plan before asking them to absorb the consequences for everyone else.</x:v>
      </x:c>
      <x:c r="U85" s="27" t="str"/>
      <x:c r="V85" s="27" t="str">
        <x:v>READY FOR RUNTIME</x:v>
      </x:c>
    </x:row>
    <x:row r="86">
      <x:c r="A86" s="27" t="n">
        <x:v>85</x:v>
      </x:c>
      <x:c r="B86" s="27" t="str">
        <x:v>sky.moon.square.mars</x:v>
      </x:c>
      <x:c r="C86" s="27" t="str">
        <x:v>moon</x:v>
      </x:c>
      <x:c r="D86" s="27" t="str">
        <x:v>square</x:v>
      </x:c>
      <x:c r="E86" s="27" t="str">
        <x:v>mars</x:v>
      </x:c>
      <x:c r="F86" s="27" t="str">
        <x:v>moon|mars</x:v>
      </x:c>
      <x:c r="G86" s="27" t="str">
        <x:v>Immediate needs and emotional reactions meet action. Concern, anger, protection, or impatience quickly becomes behavior.</x:v>
      </x:c>
      <x:c r="H86" s="27" t="str">
        <x:v>Friction makes the problem difficult to keep absorbing. Pressure repeats or escalates until the plan, rule, behavior, or distribution of responsibility changes.</x:v>
      </x:c>
      <x:c r="I86" s="27" t="str">
        <x:v>Friction builds toward a forced adjustment.</x:v>
      </x:c>
      <x:c r="J86" s="27" t="str">
        <x:v>The crisis passes; what was restructured settles.</x:v>
      </x:c>
      <x:c r="K86" s="27" t="str">
        <x:v>[runtime sign]</x:v>
      </x:c>
      <x:c r="L86" s="27" t="str">
        <x:v>[lookup Body|Sign]</x:v>
      </x:c>
      <x:c r="M86" s="27" t="str">
        <x:v>[runtime sign]</x:v>
      </x:c>
      <x:c r="N86" s="27" t="str">
        <x:v>[lookup Body|Sign]</x:v>
      </x:c>
      <x:c r="O86" s="27" t="str">
        <x:v>[runtime local datetime]</x:v>
      </x:c>
      <x:c r="P86" s="27" t="str">
        <x:v>[runtime orb]</x:v>
      </x:c>
      <x:c r="Q86" s="27" t="str">
        <x:v>[applying / exact / separating]</x:v>
      </x:c>
      <x:c r="R86" s="27" t="str">
        <x:v>[runtime flags]</x:v>
      </x:c>
      <x:c r="S86" s="27" t="str">
        <x:v>Write one integrated collective Sky Calendar forecast for Moon in [Planet A sign] square Mars in [Planet B sign] at [calculated date/time]. Preserve this pair meaning: Immediate needs and emotional reactions meet action. Concern, anger, protection, or impatience quickly becomes behavior.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6" s="27" t="str">
        <x:v>A last-minute demand turns an already strained household or team into a fight. Moon square Mars can make an urgent request collide with exhaustion, care responsibilities, or private stress that was already close to the limit. Someone may still get the task done and carry the anger home afterward. Treat that anger as information about the workload, not just the tone of the response. Give the job a realistic timeline and stop treating one person's availability as proof that their plans can wait.</x:v>
      </x:c>
      <x:c r="U86" s="27" t="str"/>
      <x:c r="V86" s="27" t="str">
        <x:v>READY FOR RUNTIME</x:v>
      </x:c>
    </x:row>
    <x:row r="87">
      <x:c r="A87" s="27" t="n">
        <x:v>86</x:v>
      </x:c>
      <x:c r="B87" s="27" t="str">
        <x:v>sky.moon.trine.mars</x:v>
      </x:c>
      <x:c r="C87" s="27" t="str">
        <x:v>moon</x:v>
      </x:c>
      <x:c r="D87" s="27" t="str">
        <x:v>trine</x:v>
      </x:c>
      <x:c r="E87" s="27" t="str">
        <x:v>mars</x:v>
      </x:c>
      <x:c r="F87" s="27" t="str">
        <x:v>moon|mars</x:v>
      </x:c>
      <x:c r="G87" s="27" t="str">
        <x:v>Immediate needs and emotional reactions meet action. Concern, anger, protection, or impatience quickly becomes behavior.</x:v>
      </x:c>
      <x:c r="H87" s="27" t="str">
        <x:v>The two functions support each other easily. Momentum is available with less resistance, which helps progress but can let a weak assumption travel farther.</x:v>
      </x:c>
      <x:c r="I87" s="27" t="str">
        <x:v>Ease and support build and arrive on their own.</x:v>
      </x:c>
      <x:c r="J87" s="27" t="str">
        <x:v>The ease withdraws; the flow passes, used or not.</x:v>
      </x:c>
      <x:c r="K87" s="27" t="str">
        <x:v>[runtime sign]</x:v>
      </x:c>
      <x:c r="L87" s="27" t="str">
        <x:v>[lookup Body|Sign]</x:v>
      </x:c>
      <x:c r="M87" s="27" t="str">
        <x:v>[runtime sign]</x:v>
      </x:c>
      <x:c r="N87" s="27" t="str">
        <x:v>[lookup Body|Sign]</x:v>
      </x:c>
      <x:c r="O87" s="27" t="str">
        <x:v>[runtime local datetime]</x:v>
      </x:c>
      <x:c r="P87" s="27" t="str">
        <x:v>[runtime orb]</x:v>
      </x:c>
      <x:c r="Q87" s="27" t="str">
        <x:v>[applying / exact / separating]</x:v>
      </x:c>
      <x:c r="R87" s="27" t="str">
        <x:v>[runtime flags]</x:v>
      </x:c>
      <x:c r="S87" s="27" t="str">
        <x:v>Write one integrated collective Sky Calendar forecast for Moon in [Planet A sign] trine Mars in [Planet B sign] at [calculated date/time]. Preserve this pair meaning: Immediate needs and emotional reactions meet action. Concern, anger, protection, or impatience quickly becomes behavior.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7" s="27" t="str">
        <x:v>The response team reaches the problem with the right supplies and enough authority to use them. Moon trine Mars can help caregivers, neighbors, staff, or family members act on what people actually need instead of following a plan that no longer fits the situation. Instinct and action support each other here. Keep the team close to the people affected. The fastest response is useful when it can adjust without losing the purpose of the work.</x:v>
      </x:c>
      <x:c r="U87" s="27" t="str"/>
      <x:c r="V87" s="27" t="str">
        <x:v>READY FOR RUNTIME</x:v>
      </x:c>
    </x:row>
    <x:row r="88">
      <x:c r="A88" s="27" t="n">
        <x:v>87</x:v>
      </x:c>
      <x:c r="B88" s="27" t="str">
        <x:v>sky.moon.sextile.mars</x:v>
      </x:c>
      <x:c r="C88" s="27" t="str">
        <x:v>moon</x:v>
      </x:c>
      <x:c r="D88" s="27" t="str">
        <x:v>sextile</x:v>
      </x:c>
      <x:c r="E88" s="27" t="str">
        <x:v>mars</x:v>
      </x:c>
      <x:c r="F88" s="27" t="str">
        <x:v>moon|mars</x:v>
      </x:c>
      <x:c r="G88" s="27" t="str">
        <x:v>Immediate needs and emotional reactions meet action. Concern, anger, protection, or impatience quickly becomes behavior.</x:v>
      </x:c>
      <x:c r="H88" s="27" t="str">
        <x:v>A workable opening appears between the two functions. The opportunity is useful but not automatic; someone still has to notice it and make the specific move.</x:v>
      </x:c>
      <x:c r="I88" s="27" t="str">
        <x:v>A supportive opening becomes available; offered, not automatic.</x:v>
      </x:c>
      <x:c r="J88" s="27" t="str">
        <x:v>The opening closes; unused, it passes.</x:v>
      </x:c>
      <x:c r="K88" s="27" t="str">
        <x:v>[runtime sign]</x:v>
      </x:c>
      <x:c r="L88" s="27" t="str">
        <x:v>[lookup Body|Sign]</x:v>
      </x:c>
      <x:c r="M88" s="27" t="str">
        <x:v>[runtime sign]</x:v>
      </x:c>
      <x:c r="N88" s="27" t="str">
        <x:v>[lookup Body|Sign]</x:v>
      </x:c>
      <x:c r="O88" s="27" t="str">
        <x:v>[runtime local datetime]</x:v>
      </x:c>
      <x:c r="P88" s="27" t="str">
        <x:v>[runtime orb]</x:v>
      </x:c>
      <x:c r="Q88" s="27" t="str">
        <x:v>[applying / exact / separating]</x:v>
      </x:c>
      <x:c r="R88" s="27" t="str">
        <x:v>[runtime flags]</x:v>
      </x:c>
      <x:c r="S88" s="27" t="str">
        <x:v>Write one integrated collective Sky Calendar forecast for Moon in [Planet A sign] sextile Mars in [Planet B sign] at [calculated date/time]. Preserve this pair meaning: Immediate needs and emotional reactions meet action. Concern, anger, protection, or impatience quickly becomes behavior.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8" s="27" t="str">
        <x:v>Someone notices the immediate need and acts before the situation becomes an emergency. Moon sextile Mars can turn concern into a ride, meal, repaired lock, covered shift, or other small action that changes the day right away. It does not need a committee to matter. Handle the part that can actually be handled now. If the need is larger than one person can carry, use the first action to buy enough time to bring in more help.</x:v>
      </x:c>
      <x:c r="U88" s="27" t="str"/>
      <x:c r="V88" s="27" t="str">
        <x:v>READY FOR RUNTIME</x:v>
      </x:c>
    </x:row>
    <x:row r="89">
      <x:c r="A89" s="27" t="n">
        <x:v>88</x:v>
      </x:c>
      <x:c r="B89" s="27" t="str">
        <x:v>sky.moon.conjunction.mercury</x:v>
      </x:c>
      <x:c r="C89" s="27" t="str">
        <x:v>moon</x:v>
      </x:c>
      <x:c r="D89" s="27" t="str">
        <x:v>conjunction</x:v>
      </x:c>
      <x:c r="E89" s="27" t="str">
        <x:v>mercury</x:v>
      </x:c>
      <x:c r="F89" s="27" t="str">
        <x:v>moon|mercury</x:v>
      </x:c>
      <x:c r="G89" s="27" t="str">
        <x:v>Mood and immediate needs meet information. What people hear changes how they react, and the reaction changes the conversation.</x:v>
      </x:c>
      <x:c r="H89" s="27" t="str">
        <x:v>The two functions operate inside the same event. Benefit and complication arrive together, so separating one from the other is difficult.</x:v>
      </x:c>
      <x:c r="I89" s="27" t="str">
        <x:v>The two fuse and intensify as they close in.</x:v>
      </x:c>
      <x:c r="J89" s="27" t="str">
        <x:v>The fused theme peaks and discharges.</x:v>
      </x:c>
      <x:c r="K89" s="27" t="str">
        <x:v>[runtime sign]</x:v>
      </x:c>
      <x:c r="L89" s="27" t="str">
        <x:v>[lookup Body|Sign]</x:v>
      </x:c>
      <x:c r="M89" s="27" t="str">
        <x:v>[runtime sign]</x:v>
      </x:c>
      <x:c r="N89" s="27" t="str">
        <x:v>[lookup Body|Sign]</x:v>
      </x:c>
      <x:c r="O89" s="27" t="str">
        <x:v>[runtime local datetime]</x:v>
      </x:c>
      <x:c r="P89" s="27" t="str">
        <x:v>[runtime orb]</x:v>
      </x:c>
      <x:c r="Q89" s="27" t="str">
        <x:v>[applying / exact / separating]</x:v>
      </x:c>
      <x:c r="R89" s="27" t="str">
        <x:v>[runtime flags]</x:v>
      </x:c>
      <x:c r="S89" s="27" t="str">
        <x:v>Write one integrated collective Sky Calendar forecast for Moon in [Planet A sign] conjunction Mercury in [Planet B sign] at [calculated date/time]. Preserve this pair meaning: Mood and immediate needs meet information. What people hear changes how they react, and the reaction changes the conversation.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Mercury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89" s="27" t="str">
        <x:v>A private admission changes the tone and direction of the entire conversation. Moon conjunct Mercury can make news about a family problem, health concern, housing loss, or old hurt become part of the decision at the same moment it is finally spoken. The room cannot go back to the easier version of the conversation after that. Listen for what changed in the facts as well as the mood. Respond to the information that was disclosed instead of treating the emotion around it as a distraction.</x:v>
      </x:c>
      <x:c r="U89" s="27" t="str"/>
      <x:c r="V89" s="27" t="str">
        <x:v>READY FOR RUNTIME</x:v>
      </x:c>
    </x:row>
    <x:row r="90">
      <x:c r="A90" s="27" t="n">
        <x:v>89</x:v>
      </x:c>
      <x:c r="B90" s="27" t="str">
        <x:v>sky.moon.opposition.mercury</x:v>
      </x:c>
      <x:c r="C90" s="27" t="str">
        <x:v>moon</x:v>
      </x:c>
      <x:c r="D90" s="27" t="str">
        <x:v>opposition</x:v>
      </x:c>
      <x:c r="E90" s="27" t="str">
        <x:v>mercury</x:v>
      </x:c>
      <x:c r="F90" s="27" t="str">
        <x:v>moon|mercury</x:v>
      </x:c>
      <x:c r="G90" s="27" t="str">
        <x:v>Mood and immediate needs meet information. What people hear changes how they react, and the reaction changes the conversation.</x:v>
      </x:c>
      <x:c r="H90" s="27" t="str">
        <x:v>Two needs or positions face each other directly through different people, roles, institutions, or requirements. The tradeoff has to become explicit.</x:v>
      </x:c>
      <x:c r="I90" s="27" t="str">
        <x:v>A confrontation builds; the other side comes fully into view.</x:v>
      </x:c>
      <x:c r="J90" s="27" t="str">
        <x:v>The standoff resolves into balance or a split.</x:v>
      </x:c>
      <x:c r="K90" s="27" t="str">
        <x:v>[runtime sign]</x:v>
      </x:c>
      <x:c r="L90" s="27" t="str">
        <x:v>[lookup Body|Sign]</x:v>
      </x:c>
      <x:c r="M90" s="27" t="str">
        <x:v>[runtime sign]</x:v>
      </x:c>
      <x:c r="N90" s="27" t="str">
        <x:v>[lookup Body|Sign]</x:v>
      </x:c>
      <x:c r="O90" s="27" t="str">
        <x:v>[runtime local datetime]</x:v>
      </x:c>
      <x:c r="P90" s="27" t="str">
        <x:v>[runtime orb]</x:v>
      </x:c>
      <x:c r="Q90" s="27" t="str">
        <x:v>[applying / exact / separating]</x:v>
      </x:c>
      <x:c r="R90" s="27" t="str">
        <x:v>[runtime flags]</x:v>
      </x:c>
      <x:c r="S90" s="27" t="str">
        <x:v>Write one integrated collective Sky Calendar forecast for Moon in [Planet A sign] opposition Mercury in [Planet B sign] at [calculated date/time]. Preserve this pair meaning: Mood and immediate needs meet information. What people hear changes how they react, and the reaction changes the conversation.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Mercury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0" s="27" t="str">
        <x:v>The written account describes a routine decision while the person affected describes the moment their life became harder. Moon opposite Mercury can put dates, policy, and the language on file directly across from missed care, panic, or a conversation nobody documented. The record matters, but so does what the record failed to capture. Correct the file if something material is missing. An official version loses credibility when it requires the human consequence to count as less evidence than the paperwork.</x:v>
      </x:c>
      <x:c r="U90" s="27" t="str"/>
      <x:c r="V90" s="27" t="str">
        <x:v>READY FOR RUNTIME</x:v>
      </x:c>
    </x:row>
    <x:row r="91">
      <x:c r="A91" s="27" t="n">
        <x:v>90</x:v>
      </x:c>
      <x:c r="B91" s="27" t="str">
        <x:v>sky.moon.square.mercury</x:v>
      </x:c>
      <x:c r="C91" s="27" t="str">
        <x:v>moon</x:v>
      </x:c>
      <x:c r="D91" s="27" t="str">
        <x:v>square</x:v>
      </x:c>
      <x:c r="E91" s="27" t="str">
        <x:v>mercury</x:v>
      </x:c>
      <x:c r="F91" s="27" t="str">
        <x:v>moon|mercury</x:v>
      </x:c>
      <x:c r="G91" s="27" t="str">
        <x:v>Mood and immediate needs meet information. What people hear changes how they react, and the reaction changes the conversation.</x:v>
      </x:c>
      <x:c r="H91" s="27" t="str">
        <x:v>Friction makes the problem difficult to keep absorbing. Pressure repeats or escalates until the plan, rule, behavior, or distribution of responsibility changes.</x:v>
      </x:c>
      <x:c r="I91" s="27" t="str">
        <x:v>Friction builds toward a forced adjustment.</x:v>
      </x:c>
      <x:c r="J91" s="27" t="str">
        <x:v>The crisis passes; what was restructured settles.</x:v>
      </x:c>
      <x:c r="K91" s="27" t="str">
        <x:v>[runtime sign]</x:v>
      </x:c>
      <x:c r="L91" s="27" t="str">
        <x:v>[lookup Body|Sign]</x:v>
      </x:c>
      <x:c r="M91" s="27" t="str">
        <x:v>[runtime sign]</x:v>
      </x:c>
      <x:c r="N91" s="27" t="str">
        <x:v>[lookup Body|Sign]</x:v>
      </x:c>
      <x:c r="O91" s="27" t="str">
        <x:v>[runtime local datetime]</x:v>
      </x:c>
      <x:c r="P91" s="27" t="str">
        <x:v>[runtime orb]</x:v>
      </x:c>
      <x:c r="Q91" s="27" t="str">
        <x:v>[applying / exact / separating]</x:v>
      </x:c>
      <x:c r="R91" s="27" t="str">
        <x:v>[runtime flags]</x:v>
      </x:c>
      <x:c r="S91" s="27" t="str">
        <x:v>Write one integrated collective Sky Calendar forecast for Moon in [Planet A sign] square Mercury in [Planet B sign] at [calculated date/time]. Preserve this pair meaning: Mood and immediate needs meet information. What people hear changes how they react, and the reaction changes the conversation.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Mercury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1" s="27" t="str">
        <x:v>A technically correct message lands as dismissive because its tone ignores what the room is already carrying. Moon square Mercury can make an automated reply, short email, or carefully worded statement answer the question and still lose the trust required for the answer to be heard. Accuracy is not the whole job when grief, fear, anger, or exhaustion is obvious. Keep the facts, change the delivery. Acknowledge the impact before repeating the policy.</x:v>
      </x:c>
      <x:c r="U91" s="27" t="str"/>
      <x:c r="V91" s="27" t="str">
        <x:v>READY FOR RUNTIME</x:v>
      </x:c>
    </x:row>
    <x:row r="92">
      <x:c r="A92" s="27" t="n">
        <x:v>91</x:v>
      </x:c>
      <x:c r="B92" s="27" t="str">
        <x:v>sky.moon.trine.mercury</x:v>
      </x:c>
      <x:c r="C92" s="27" t="str">
        <x:v>moon</x:v>
      </x:c>
      <x:c r="D92" s="27" t="str">
        <x:v>trine</x:v>
      </x:c>
      <x:c r="E92" s="27" t="str">
        <x:v>mercury</x:v>
      </x:c>
      <x:c r="F92" s="27" t="str">
        <x:v>moon|mercury</x:v>
      </x:c>
      <x:c r="G92" s="27" t="str">
        <x:v>Mood and immediate needs meet information. What people hear changes how they react, and the reaction changes the conversation.</x:v>
      </x:c>
      <x:c r="H92" s="27" t="str">
        <x:v>The two functions support each other easily. Momentum is available with less resistance, which helps progress but can let a weak assumption travel farther.</x:v>
      </x:c>
      <x:c r="I92" s="27" t="str">
        <x:v>Ease and support build and arrive on their own.</x:v>
      </x:c>
      <x:c r="J92" s="27" t="str">
        <x:v>The ease withdraws; the flow passes, used or not.</x:v>
      </x:c>
      <x:c r="K92" s="27" t="str">
        <x:v>[runtime sign]</x:v>
      </x:c>
      <x:c r="L92" s="27" t="str">
        <x:v>[lookup Body|Sign]</x:v>
      </x:c>
      <x:c r="M92" s="27" t="str">
        <x:v>[runtime sign]</x:v>
      </x:c>
      <x:c r="N92" s="27" t="str">
        <x:v>[lookup Body|Sign]</x:v>
      </x:c>
      <x:c r="O92" s="27" t="str">
        <x:v>[runtime local datetime]</x:v>
      </x:c>
      <x:c r="P92" s="27" t="str">
        <x:v>[runtime orb]</x:v>
      </x:c>
      <x:c r="Q92" s="27" t="str">
        <x:v>[applying / exact / separating]</x:v>
      </x:c>
      <x:c r="R92" s="27" t="str">
        <x:v>[runtime flags]</x:v>
      </x:c>
      <x:c r="S92" s="27" t="str">
        <x:v>Write one integrated collective Sky Calendar forecast for Moon in [Planet A sign] trine Mercury in [Planet B sign] at [calculated date/time]. Preserve this pair meaning: Mood and immediate needs meet information. What people hear changes how they react, and the reaction changes the conversation.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Mercury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2" s="27" t="str">
        <x:v>The conversation finally reaches the reason someone was upset in the first place. Moon trine Mercury can make a voice note, private meeting, or direct reply clear enough to name what hurt, what changed, and what answer is needed next without starting another argument. Say the part that matters. The goal is not to explain every feeling perfectly; it is to give the other person enough information to respond to the actual problem instead of guessing at the reaction.</x:v>
      </x:c>
      <x:c r="U92" s="27" t="str"/>
      <x:c r="V92" s="27" t="str">
        <x:v>READY FOR RUNTIME</x:v>
      </x:c>
    </x:row>
    <x:row r="93">
      <x:c r="A93" s="27" t="n">
        <x:v>92</x:v>
      </x:c>
      <x:c r="B93" s="27" t="str">
        <x:v>sky.moon.sextile.mercury</x:v>
      </x:c>
      <x:c r="C93" s="27" t="str">
        <x:v>moon</x:v>
      </x:c>
      <x:c r="D93" s="27" t="str">
        <x:v>sextile</x:v>
      </x:c>
      <x:c r="E93" s="27" t="str">
        <x:v>mercury</x:v>
      </x:c>
      <x:c r="F93" s="27" t="str">
        <x:v>moon|mercury</x:v>
      </x:c>
      <x:c r="G93" s="27" t="str">
        <x:v>Mood and immediate needs meet information. What people hear changes how they react, and the reaction changes the conversation.</x:v>
      </x:c>
      <x:c r="H93" s="27" t="str">
        <x:v>A workable opening appears between the two functions. The opportunity is useful but not automatic; someone still has to notice it and make the specific move.</x:v>
      </x:c>
      <x:c r="I93" s="27" t="str">
        <x:v>A supportive opening becomes available; offered, not automatic.</x:v>
      </x:c>
      <x:c r="J93" s="27" t="str">
        <x:v>The opening closes; unused, it passes.</x:v>
      </x:c>
      <x:c r="K93" s="27" t="str">
        <x:v>[runtime sign]</x:v>
      </x:c>
      <x:c r="L93" s="27" t="str">
        <x:v>[lookup Body|Sign]</x:v>
      </x:c>
      <x:c r="M93" s="27" t="str">
        <x:v>[runtime sign]</x:v>
      </x:c>
      <x:c r="N93" s="27" t="str">
        <x:v>[lookup Body|Sign]</x:v>
      </x:c>
      <x:c r="O93" s="27" t="str">
        <x:v>[runtime local datetime]</x:v>
      </x:c>
      <x:c r="P93" s="27" t="str">
        <x:v>[runtime orb]</x:v>
      </x:c>
      <x:c r="Q93" s="27" t="str">
        <x:v>[applying / exact / separating]</x:v>
      </x:c>
      <x:c r="R93" s="27" t="str">
        <x:v>[runtime flags]</x:v>
      </x:c>
      <x:c r="S93" s="27" t="str">
        <x:v>Write one integrated collective Sky Calendar forecast for Moon in [Planet A sign] sextile Mercury in [Planet B sign] at [calculated date/time]. Preserve this pair meaning: Mood and immediate needs meet information. What people hear changes how they react, and the reaction changes the conversation.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Mercury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3" s="27" t="str">
        <x:v>A private concern reaches the right person before it becomes a public problem. Moon sextile Mercury can turn a message about childcare, medication, housing, or a schedule change into enough information for a coordinator to intervene before the day falls apart. Send the message while the problem is still small. Include the time, the practical need, and the answer required. One clear note can save someone from explaining the same problem after the damage is already done.</x:v>
      </x:c>
      <x:c r="U93" s="27" t="str"/>
      <x:c r="V93" s="27" t="str">
        <x:v>READY FOR RUNTIME</x:v>
      </x:c>
    </x:row>
    <x:row r="94">
      <x:c r="A94" s="27" t="n">
        <x:v>93</x:v>
      </x:c>
      <x:c r="B94" s="27" t="str">
        <x:v>sky.moon.conjunction.neptune</x:v>
      </x:c>
      <x:c r="C94" s="27" t="str">
        <x:v>moon</x:v>
      </x:c>
      <x:c r="D94" s="27" t="str">
        <x:v>conjunction</x:v>
      </x:c>
      <x:c r="E94" s="27" t="str">
        <x:v>neptune</x:v>
      </x:c>
      <x:c r="F94" s="27" t="str">
        <x:v>moon|neptune</x:v>
      </x:c>
      <x:c r="G94" s="27" t="str">
        <x:v>Immediate feeling meets empathy, imagination, and uncertainty. The collective mood can become compassionate, suggestible, or difficult to verify.</x:v>
      </x:c>
      <x:c r="H94" s="27" t="str">
        <x:v>The two functions operate inside the same event. Benefit and complication arrive together, so separating one from the other is difficult.</x:v>
      </x:c>
      <x:c r="I94" s="27" t="str">
        <x:v>The two fuse and intensify as they close in.</x:v>
      </x:c>
      <x:c r="J94" s="27" t="str">
        <x:v>The fused theme peaks and discharges.</x:v>
      </x:c>
      <x:c r="K94" s="27" t="str">
        <x:v>[runtime sign]</x:v>
      </x:c>
      <x:c r="L94" s="27" t="str">
        <x:v>[lookup Body|Sign]</x:v>
      </x:c>
      <x:c r="M94" s="27" t="str">
        <x:v>[runtime sign]</x:v>
      </x:c>
      <x:c r="N94" s="27" t="str">
        <x:v>[lookup Body|Sign]</x:v>
      </x:c>
      <x:c r="O94" s="27" t="str">
        <x:v>[runtime local datetime]</x:v>
      </x:c>
      <x:c r="P94" s="27" t="str">
        <x:v>[runtime orb]</x:v>
      </x:c>
      <x:c r="Q94" s="27" t="str">
        <x:v>[applying / exact / separating]</x:v>
      </x:c>
      <x:c r="R94" s="27" t="str">
        <x:v>[runtime flags]</x:v>
      </x:c>
      <x:c r="S94" s="27" t="str">
        <x:v>Write one integrated collective Sky Calendar forecast for Moon in [Planet A sign] conjunction Neptune in [Planet B sign] at [calculated date/time]. Preserve this pair meaning: Immediate feeling meets empathy, imagination, and uncertainty. The collective mood can become compassionate, suggestible, or difficult to verify.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4" s="27" t="str">
        <x:v>A shared feeling moves through a family, crowd, or community before anyone can say exactly what happened. Moon conjunct Neptune can make grief, hope, fear, or relief shape the decision while the facts are still incomplete, and one person's emotion can quickly become the atmosphere everyone is responding to. The tenderness can be genuine. So can the confusion. Slow the decision enough to separate what is known from what the room is feeling before the mood starts speaking for everyone.</x:v>
      </x:c>
      <x:c r="U94" s="27" t="str"/>
      <x:c r="V94" s="27" t="str">
        <x:v>READY FOR RUNTIME</x:v>
      </x:c>
    </x:row>
    <x:row r="95">
      <x:c r="A95" s="27" t="n">
        <x:v>94</x:v>
      </x:c>
      <x:c r="B95" s="27" t="str">
        <x:v>sky.moon.opposition.neptune</x:v>
      </x:c>
      <x:c r="C95" s="27" t="str">
        <x:v>moon</x:v>
      </x:c>
      <x:c r="D95" s="27" t="str">
        <x:v>opposition</x:v>
      </x:c>
      <x:c r="E95" s="27" t="str">
        <x:v>neptune</x:v>
      </x:c>
      <x:c r="F95" s="27" t="str">
        <x:v>moon|neptune</x:v>
      </x:c>
      <x:c r="G95" s="27" t="str">
        <x:v>Immediate feeling meets empathy, imagination, and uncertainty. The collective mood can become compassionate, suggestible, or difficult to verify.</x:v>
      </x:c>
      <x:c r="H95" s="27" t="str">
        <x:v>Two needs or positions face each other directly through different people, roles, institutions, or requirements. The tradeoff has to become explicit.</x:v>
      </x:c>
      <x:c r="I95" s="27" t="str">
        <x:v>A confrontation builds; the other side comes fully into view.</x:v>
      </x:c>
      <x:c r="J95" s="27" t="str">
        <x:v>The standoff resolves into balance or a split.</x:v>
      </x:c>
      <x:c r="K95" s="27" t="str">
        <x:v>[runtime sign]</x:v>
      </x:c>
      <x:c r="L95" s="27" t="str">
        <x:v>[lookup Body|Sign]</x:v>
      </x:c>
      <x:c r="M95" s="27" t="str">
        <x:v>[runtime sign]</x:v>
      </x:c>
      <x:c r="N95" s="27" t="str">
        <x:v>[lookup Body|Sign]</x:v>
      </x:c>
      <x:c r="O95" s="27" t="str">
        <x:v>[runtime local datetime]</x:v>
      </x:c>
      <x:c r="P95" s="27" t="str">
        <x:v>[runtime orb]</x:v>
      </x:c>
      <x:c r="Q95" s="27" t="str">
        <x:v>[applying / exact / separating]</x:v>
      </x:c>
      <x:c r="R95" s="27" t="str">
        <x:v>[runtime flags]</x:v>
      </x:c>
      <x:c r="S95" s="27" t="str">
        <x:v>Write one integrated collective Sky Calendar forecast for Moon in [Planet A sign] opposition Neptune in [Planet B sign] at [calculated date/time]. Preserve this pair meaning: Immediate feeling meets empathy, imagination, and uncertainty. The collective mood can become compassionate, suggestible, or difficult to verify.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5" s="27" t="str">
        <x:v>The public story describes a moving rescue while the people living through it describe uncertainty, missing support, and needs that do not fit the narrative. Moon opposite Neptune can put genuine empathy directly against the fantasy that empathy already solved the problem. Attention may bring donations and still leave families or caregivers doing the unglamorous work after the cameras move on. Ask what remains unfinished. The story is more honest when the need is allowed to continue after the inspiring part ends.</x:v>
      </x:c>
      <x:c r="U95" s="27" t="str"/>
      <x:c r="V95" s="27" t="str">
        <x:v>READY FOR RUNTIME</x:v>
      </x:c>
    </x:row>
    <x:row r="96">
      <x:c r="A96" s="27" t="n">
        <x:v>95</x:v>
      </x:c>
      <x:c r="B96" s="27" t="str">
        <x:v>sky.moon.square.neptune</x:v>
      </x:c>
      <x:c r="C96" s="27" t="str">
        <x:v>moon</x:v>
      </x:c>
      <x:c r="D96" s="27" t="str">
        <x:v>square</x:v>
      </x:c>
      <x:c r="E96" s="27" t="str">
        <x:v>neptune</x:v>
      </x:c>
      <x:c r="F96" s="27" t="str">
        <x:v>moon|neptune</x:v>
      </x:c>
      <x:c r="G96" s="27" t="str">
        <x:v>Immediate feeling meets empathy, imagination, and uncertainty. The collective mood can become compassionate, suggestible, or difficult to verify.</x:v>
      </x:c>
      <x:c r="H96" s="27" t="str">
        <x:v>Friction makes the problem difficult to keep absorbing. Pressure repeats or escalates until the plan, rule, behavior, or distribution of responsibility changes.</x:v>
      </x:c>
      <x:c r="I96" s="27" t="str">
        <x:v>Friction builds toward a forced adjustment.</x:v>
      </x:c>
      <x:c r="J96" s="27" t="str">
        <x:v>The crisis passes; what was restructured settles.</x:v>
      </x:c>
      <x:c r="K96" s="27" t="str">
        <x:v>[runtime sign]</x:v>
      </x:c>
      <x:c r="L96" s="27" t="str">
        <x:v>[lookup Body|Sign]</x:v>
      </x:c>
      <x:c r="M96" s="27" t="str">
        <x:v>[runtime sign]</x:v>
      </x:c>
      <x:c r="N96" s="27" t="str">
        <x:v>[lookup Body|Sign]</x:v>
      </x:c>
      <x:c r="O96" s="27" t="str">
        <x:v>[runtime local datetime]</x:v>
      </x:c>
      <x:c r="P96" s="27" t="str">
        <x:v>[runtime orb]</x:v>
      </x:c>
      <x:c r="Q96" s="27" t="str">
        <x:v>[applying / exact / separating]</x:v>
      </x:c>
      <x:c r="R96" s="27" t="str">
        <x:v>[runtime flags]</x:v>
      </x:c>
      <x:c r="S96" s="27" t="str">
        <x:v>Write one integrated collective Sky Calendar forecast for Moon in [Planet A sign] square Neptune in [Planet B sign] at [calculated date/time]. Preserve this pair meaning: Immediate feeling meets empathy, imagination, and uncertainty. The collective mood can become compassionate, suggestible, or difficult to verify.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6" s="27" t="str">
        <x:v>A family or community rallies around a crisis before anyone confirms what kind of help is actually needed. Moon square Neptune can flood the situation with money, advice, visitors, and promises while the same exhausted person is still making every hard decision. Sympathy is not automatically useful support. Ask what would make the next twelve hours easier. Bring the meal, cover the shift, pay the bill, or give the person space instead of making them manage everyone else's concern.</x:v>
      </x:c>
      <x:c r="U96" s="27" t="str"/>
      <x:c r="V96" s="27" t="str">
        <x:v>READY FOR RUNTIME</x:v>
      </x:c>
    </x:row>
    <x:row r="97">
      <x:c r="A97" s="27" t="n">
        <x:v>96</x:v>
      </x:c>
      <x:c r="B97" s="27" t="str">
        <x:v>sky.moon.trine.neptune</x:v>
      </x:c>
      <x:c r="C97" s="27" t="str">
        <x:v>moon</x:v>
      </x:c>
      <x:c r="D97" s="27" t="str">
        <x:v>trine</x:v>
      </x:c>
      <x:c r="E97" s="27" t="str">
        <x:v>neptune</x:v>
      </x:c>
      <x:c r="F97" s="27" t="str">
        <x:v>moon|neptune</x:v>
      </x:c>
      <x:c r="G97" s="27" t="str">
        <x:v>Immediate feeling meets empathy, imagination, and uncertainty. The collective mood can become compassionate, suggestible, or difficult to verify.</x:v>
      </x:c>
      <x:c r="H97" s="27" t="str">
        <x:v>The two functions support each other easily. Momentum is available with less resistance, which helps progress but can let a weak assumption travel farther.</x:v>
      </x:c>
      <x:c r="I97" s="27" t="str">
        <x:v>Ease and support build and arrive on their own.</x:v>
      </x:c>
      <x:c r="J97" s="27" t="str">
        <x:v>The ease withdraws; the flow passes, used or not.</x:v>
      </x:c>
      <x:c r="K97" s="27" t="str">
        <x:v>[runtime sign]</x:v>
      </x:c>
      <x:c r="L97" s="27" t="str">
        <x:v>[lookup Body|Sign]</x:v>
      </x:c>
      <x:c r="M97" s="27" t="str">
        <x:v>[runtime sign]</x:v>
      </x:c>
      <x:c r="N97" s="27" t="str">
        <x:v>[lookup Body|Sign]</x:v>
      </x:c>
      <x:c r="O97" s="27" t="str">
        <x:v>[runtime local datetime]</x:v>
      </x:c>
      <x:c r="P97" s="27" t="str">
        <x:v>[runtime orb]</x:v>
      </x:c>
      <x:c r="Q97" s="27" t="str">
        <x:v>[applying / exact / separating]</x:v>
      </x:c>
      <x:c r="R97" s="27" t="str">
        <x:v>[runtime flags]</x:v>
      </x:c>
      <x:c r="S97" s="27" t="str">
        <x:v>Write one integrated collective Sky Calendar forecast for Moon in [Planet A sign] trine Neptune in [Planet B sign] at [calculated date/time]. Preserve this pair meaning: Immediate feeling meets empathy, imagination, and uncertainty. The collective mood can become compassionate, suggestible, or difficult to verify.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7" s="27" t="str">
        <x:v>A collective loss is met with care that feels personal rather than procedural. Moon trine Neptune can bring meals, vigils, art, childcare, or quiet places to gather without forcing mourners to organize the support themselves. The response does not need to erase the loss to be meaningful. Keep showing up in ways that reduce the practical burden. Grief is easier to carry when care is visible in the food, rides, hours, and space people actually receive.</x:v>
      </x:c>
      <x:c r="U97" s="27" t="str"/>
      <x:c r="V97" s="27" t="str">
        <x:v>READY FOR RUNTIME</x:v>
      </x:c>
    </x:row>
    <x:row r="98">
      <x:c r="A98" s="27" t="n">
        <x:v>97</x:v>
      </x:c>
      <x:c r="B98" s="27" t="str">
        <x:v>sky.moon.sextile.neptune</x:v>
      </x:c>
      <x:c r="C98" s="27" t="str">
        <x:v>moon</x:v>
      </x:c>
      <x:c r="D98" s="27" t="str">
        <x:v>sextile</x:v>
      </x:c>
      <x:c r="E98" s="27" t="str">
        <x:v>neptune</x:v>
      </x:c>
      <x:c r="F98" s="27" t="str">
        <x:v>moon|neptune</x:v>
      </x:c>
      <x:c r="G98" s="27" t="str">
        <x:v>Immediate feeling meets empathy, imagination, and uncertainty. The collective mood can become compassionate, suggestible, or difficult to verify.</x:v>
      </x:c>
      <x:c r="H98" s="27" t="str">
        <x:v>A workable opening appears between the two functions. The opportunity is useful but not automatic; someone still has to notice it and make the specific move.</x:v>
      </x:c>
      <x:c r="I98" s="27" t="str">
        <x:v>A supportive opening becomes available; offered, not automatic.</x:v>
      </x:c>
      <x:c r="J98" s="27" t="str">
        <x:v>The opening closes; unused, it passes.</x:v>
      </x:c>
      <x:c r="K98" s="27" t="str">
        <x:v>[runtime sign]</x:v>
      </x:c>
      <x:c r="L98" s="27" t="str">
        <x:v>[lookup Body|Sign]</x:v>
      </x:c>
      <x:c r="M98" s="27" t="str">
        <x:v>[runtime sign]</x:v>
      </x:c>
      <x:c r="N98" s="27" t="str">
        <x:v>[lookup Body|Sign]</x:v>
      </x:c>
      <x:c r="O98" s="27" t="str">
        <x:v>[runtime local datetime]</x:v>
      </x:c>
      <x:c r="P98" s="27" t="str">
        <x:v>[runtime orb]</x:v>
      </x:c>
      <x:c r="Q98" s="27" t="str">
        <x:v>[applying / exact / separating]</x:v>
      </x:c>
      <x:c r="R98" s="27" t="str">
        <x:v>[runtime flags]</x:v>
      </x:c>
      <x:c r="S98" s="27" t="str">
        <x:v>Write one integrated collective Sky Calendar forecast for Moon in [Planet A sign] sextile Neptune in [Planet B sign] at [calculated date/time]. Preserve this pair meaning: Immediate feeling meets empathy, imagination, and uncertainty. The collective mood can become compassionate, suggestible, or difficult to verify.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8" s="27" t="str">
        <x:v>Someone notices the need behind a vague request and finds one concrete way to help. Moon sextile Neptune can turn a quiet check-in into a meal, ride, room, referral, or payment before the person struggling has to make a private crisis public. Sensitivity matters most when it becomes useful. Offer the specific thing that is actually available and leave room for the answer to be no. Help should reduce the person's work, not create another conversation they have to manage.</x:v>
      </x:c>
      <x:c r="U98" s="27" t="str"/>
      <x:c r="V98" s="27" t="str">
        <x:v>READY FOR RUNTIME</x:v>
      </x:c>
    </x:row>
    <x:row r="99">
      <x:c r="A99" s="27" t="n">
        <x:v>98</x:v>
      </x:c>
      <x:c r="B99" s="27" t="str">
        <x:v>sky.moon.conjunction.pluto</x:v>
      </x:c>
      <x:c r="C99" s="27" t="str">
        <x:v>moon</x:v>
      </x:c>
      <x:c r="D99" s="27" t="str">
        <x:v>conjunction</x:v>
      </x:c>
      <x:c r="E99" s="27" t="str">
        <x:v>pluto</x:v>
      </x:c>
      <x:c r="F99" s="27" t="str">
        <x:v>moon|pluto</x:v>
      </x:c>
      <x:c r="G99" s="27" t="str">
        <x:v>Immediate reaction meets power and leverage. An emotional event exposes who can enforce the outcome or control what happens next.</x:v>
      </x:c>
      <x:c r="H99" s="27" t="str">
        <x:v>The two functions operate inside the same event. Benefit and complication arrive together, so separating one from the other is difficult.</x:v>
      </x:c>
      <x:c r="I99" s="27" t="str">
        <x:v>The two fuse and intensify as they close in.</x:v>
      </x:c>
      <x:c r="J99" s="27" t="str">
        <x:v>The fused theme peaks and discharges.</x:v>
      </x:c>
      <x:c r="K99" s="27" t="str">
        <x:v>[runtime sign]</x:v>
      </x:c>
      <x:c r="L99" s="27" t="str">
        <x:v>[lookup Body|Sign]</x:v>
      </x:c>
      <x:c r="M99" s="27" t="str">
        <x:v>[runtime sign]</x:v>
      </x:c>
      <x:c r="N99" s="27" t="str">
        <x:v>[lookup Body|Sign]</x:v>
      </x:c>
      <x:c r="O99" s="27" t="str">
        <x:v>[runtime local datetime]</x:v>
      </x:c>
      <x:c r="P99" s="27" t="str">
        <x:v>[runtime orb]</x:v>
      </x:c>
      <x:c r="Q99" s="27" t="str">
        <x:v>[applying / exact / separating]</x:v>
      </x:c>
      <x:c r="R99" s="27" t="str">
        <x:v>[runtime flags]</x:v>
      </x:c>
      <x:c r="S99" s="27" t="str">
        <x:v>Write one integrated collective Sky Calendar forecast for Moon in [Planet A sign] conjunction Pluto in [Planet B sign] at [calculated date/time]. Preserve this pair meaning: Immediate reaction meets power and leverage. An emotional event exposes who can enforce the outcome or control what happens next.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99" s="27" t="str">
        <x:v>A feeling contained for years changes the terms of the entire conversation. Moon conjunct Pluto can bring grief, resentment, fear, or a family secret into a decision that can no longer proceed as though the history were irrelevant. The disclosure changes both the emotional record and the balance of power between the people involved. Do not rush to make everyone comfortable again. Name what the new information changes, who now needs access or protection, and what can no longer be handled the old way.</x:v>
      </x:c>
      <x:c r="U99" s="27" t="str"/>
      <x:c r="V99" s="27" t="str">
        <x:v>READY FOR RUNTIME</x:v>
      </x:c>
    </x:row>
    <x:row r="100">
      <x:c r="A100" s="27" t="n">
        <x:v>99</x:v>
      </x:c>
      <x:c r="B100" s="27" t="str">
        <x:v>sky.moon.opposition.pluto</x:v>
      </x:c>
      <x:c r="C100" s="27" t="str">
        <x:v>moon</x:v>
      </x:c>
      <x:c r="D100" s="27" t="str">
        <x:v>opposition</x:v>
      </x:c>
      <x:c r="E100" s="27" t="str">
        <x:v>pluto</x:v>
      </x:c>
      <x:c r="F100" s="27" t="str">
        <x:v>moon|pluto</x:v>
      </x:c>
      <x:c r="G100" s="27" t="str">
        <x:v>Immediate reaction meets power and leverage. An emotional event exposes who can enforce the outcome or control what happens next.</x:v>
      </x:c>
      <x:c r="H100" s="27" t="str">
        <x:v>Two needs or positions face each other directly through different people, roles, institutions, or requirements. The tradeoff has to become explicit.</x:v>
      </x:c>
      <x:c r="I100" s="27" t="str">
        <x:v>A confrontation builds; the other side comes fully into view.</x:v>
      </x:c>
      <x:c r="J100" s="27" t="str">
        <x:v>The standoff resolves into balance or a split.</x:v>
      </x:c>
      <x:c r="K100" s="27" t="str">
        <x:v>[runtime sign]</x:v>
      </x:c>
      <x:c r="L100" s="27" t="str">
        <x:v>[lookup Body|Sign]</x:v>
      </x:c>
      <x:c r="M100" s="27" t="str">
        <x:v>[runtime sign]</x:v>
      </x:c>
      <x:c r="N100" s="27" t="str">
        <x:v>[lookup Body|Sign]</x:v>
      </x:c>
      <x:c r="O100" s="27" t="str">
        <x:v>[runtime local datetime]</x:v>
      </x:c>
      <x:c r="P100" s="27" t="str">
        <x:v>[runtime orb]</x:v>
      </x:c>
      <x:c r="Q100" s="27" t="str">
        <x:v>[applying / exact / separating]</x:v>
      </x:c>
      <x:c r="R100" s="27" t="str">
        <x:v>[runtime flags]</x:v>
      </x:c>
      <x:c r="S100" s="27" t="str">
        <x:v>Write one integrated collective Sky Calendar forecast for Moon in [Planet A sign] opposition Pluto in [Planet B sign] at [calculated date/time]. Preserve this pair meaning: Immediate reaction meets power and leverage. An emotional event exposes who can enforce the outcome or control what happens next.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0" s="27" t="str">
        <x:v>A private need is brought before the person who controls the money, access, housing, or family decision. Moon opposite Pluto makes vulnerability face material power directly, especially when one person can say no and remove every practical option at once. The request deserves more than sympathy if the decision affects someone's safety or care. Put the terms on the table. Ask what can change, what cannot, and who else has authority if the person holding the leverage refuses to move.</x:v>
      </x:c>
      <x:c r="U100" s="27" t="str"/>
      <x:c r="V100" s="27" t="str">
        <x:v>READY FOR RUNTIME</x:v>
      </x:c>
    </x:row>
    <x:row r="101">
      <x:c r="A101" s="27" t="n">
        <x:v>100</x:v>
      </x:c>
      <x:c r="B101" s="27" t="str">
        <x:v>sky.moon.square.pluto</x:v>
      </x:c>
      <x:c r="C101" s="27" t="str">
        <x:v>moon</x:v>
      </x:c>
      <x:c r="D101" s="27" t="str">
        <x:v>square</x:v>
      </x:c>
      <x:c r="E101" s="27" t="str">
        <x:v>pluto</x:v>
      </x:c>
      <x:c r="F101" s="27" t="str">
        <x:v>moon|pluto</x:v>
      </x:c>
      <x:c r="G101" s="27" t="str">
        <x:v>Immediate reaction meets power and leverage. An emotional event exposes who can enforce the outcome or control what happens next.</x:v>
      </x:c>
      <x:c r="H101" s="27" t="str">
        <x:v>Friction makes the problem difficult to keep absorbing. Pressure repeats or escalates until the plan, rule, behavior, or distribution of responsibility changes.</x:v>
      </x:c>
      <x:c r="I101" s="27" t="str">
        <x:v>Friction builds toward a forced adjustment.</x:v>
      </x:c>
      <x:c r="J101" s="27" t="str">
        <x:v>The crisis passes; what was restructured settles.</x:v>
      </x:c>
      <x:c r="K101" s="27" t="str">
        <x:v>[runtime sign]</x:v>
      </x:c>
      <x:c r="L101" s="27" t="str">
        <x:v>[lookup Body|Sign]</x:v>
      </x:c>
      <x:c r="M101" s="27" t="str">
        <x:v>[runtime sign]</x:v>
      </x:c>
      <x:c r="N101" s="27" t="str">
        <x:v>[lookup Body|Sign]</x:v>
      </x:c>
      <x:c r="O101" s="27" t="str">
        <x:v>[runtime local datetime]</x:v>
      </x:c>
      <x:c r="P101" s="27" t="str">
        <x:v>[runtime orb]</x:v>
      </x:c>
      <x:c r="Q101" s="27" t="str">
        <x:v>[applying / exact / separating]</x:v>
      </x:c>
      <x:c r="R101" s="27" t="str">
        <x:v>[runtime flags]</x:v>
      </x:c>
      <x:c r="S101" s="27" t="str">
        <x:v>Write one integrated collective Sky Calendar forecast for Moon in [Planet A sign] square Pluto in [Planet B sign] at [calculated date/time]. Preserve this pair meaning: Immediate reaction meets power and leverage. An emotional event exposes who can enforce the outcome or control what happens next.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1" s="27" t="str">
        <x:v>A last-minute schedule change triggers a sharp conflict over who actually gets to make the call. Moon square Pluto can turn an immediate emotional reaction into a direct challenge to the person using rank, contract, policy, or money to shut the discussion down. The original decision may still stand, but the conflict exposes where authority becomes control. Before escalating, identify the rule being enforced and who can actually change it. Do not spend the whole argument on the person enforcing a rule they have no authority to revise.</x:v>
      </x:c>
      <x:c r="U101" s="27" t="str"/>
      <x:c r="V101" s="27" t="str">
        <x:v>READY FOR RUNTIME</x:v>
      </x:c>
    </x:row>
    <x:row r="102">
      <x:c r="A102" s="27" t="n">
        <x:v>101</x:v>
      </x:c>
      <x:c r="B102" s="27" t="str">
        <x:v>sky.moon.trine.pluto</x:v>
      </x:c>
      <x:c r="C102" s="27" t="str">
        <x:v>moon</x:v>
      </x:c>
      <x:c r="D102" s="27" t="str">
        <x:v>trine</x:v>
      </x:c>
      <x:c r="E102" s="27" t="str">
        <x:v>pluto</x:v>
      </x:c>
      <x:c r="F102" s="27" t="str">
        <x:v>moon|pluto</x:v>
      </x:c>
      <x:c r="G102" s="27" t="str">
        <x:v>Immediate reaction meets power and leverage. An emotional event exposes who can enforce the outcome or control what happens next.</x:v>
      </x:c>
      <x:c r="H102" s="27" t="str">
        <x:v>The two functions support each other easily. Momentum is available with less resistance, which helps progress but can let a weak assumption travel farther.</x:v>
      </x:c>
      <x:c r="I102" s="27" t="str">
        <x:v>Ease and support build and arrive on their own.</x:v>
      </x:c>
      <x:c r="J102" s="27" t="str">
        <x:v>The ease withdraws; the flow passes, used or not.</x:v>
      </x:c>
      <x:c r="K102" s="27" t="str">
        <x:v>[runtime sign]</x:v>
      </x:c>
      <x:c r="L102" s="27" t="str">
        <x:v>[lookup Body|Sign]</x:v>
      </x:c>
      <x:c r="M102" s="27" t="str">
        <x:v>[runtime sign]</x:v>
      </x:c>
      <x:c r="N102" s="27" t="str">
        <x:v>[lookup Body|Sign]</x:v>
      </x:c>
      <x:c r="O102" s="27" t="str">
        <x:v>[runtime local datetime]</x:v>
      </x:c>
      <x:c r="P102" s="27" t="str">
        <x:v>[runtime orb]</x:v>
      </x:c>
      <x:c r="Q102" s="27" t="str">
        <x:v>[applying / exact / separating]</x:v>
      </x:c>
      <x:c r="R102" s="27" t="str">
        <x:v>[runtime flags]</x:v>
      </x:c>
      <x:c r="S102" s="27" t="str">
        <x:v>Write one integrated collective Sky Calendar forecast for Moon in [Planet A sign] trine Pluto in [Planet B sign] at [calculated date/time]. Preserve this pair meaning: Immediate reaction meets power and leverage. An emotional event exposes who can enforce the outcome or control what happens next.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2" s="27" t="str">
        <x:v>Long-standing emotional baggage comes into the open without the conversation becoming a fight. Moon trine Pluto can make grief, anxiety, or an old family loyalty easier to name without forcing anyone to reveal more than they are ready to share. Honesty has enough room to move here without turning vulnerability into a weapon. Let the conversation change the understanding of the past. The truth can matter even when one conversation does not resolve every old hurt.</x:v>
      </x:c>
      <x:c r="U102" s="27" t="str"/>
      <x:c r="V102" s="27" t="str">
        <x:v>READY FOR RUNTIME</x:v>
      </x:c>
    </x:row>
    <x:row r="103">
      <x:c r="A103" s="27" t="n">
        <x:v>102</x:v>
      </x:c>
      <x:c r="B103" s="27" t="str">
        <x:v>sky.moon.sextile.pluto</x:v>
      </x:c>
      <x:c r="C103" s="27" t="str">
        <x:v>moon</x:v>
      </x:c>
      <x:c r="D103" s="27" t="str">
        <x:v>sextile</x:v>
      </x:c>
      <x:c r="E103" s="27" t="str">
        <x:v>pluto</x:v>
      </x:c>
      <x:c r="F103" s="27" t="str">
        <x:v>moon|pluto</x:v>
      </x:c>
      <x:c r="G103" s="27" t="str">
        <x:v>Immediate reaction meets power and leverage. An emotional event exposes who can enforce the outcome or control what happens next.</x:v>
      </x:c>
      <x:c r="H103" s="27" t="str">
        <x:v>A workable opening appears between the two functions. The opportunity is useful but not automatic; someone still has to notice it and make the specific move.</x:v>
      </x:c>
      <x:c r="I103" s="27" t="str">
        <x:v>A supportive opening becomes available; offered, not automatic.</x:v>
      </x:c>
      <x:c r="J103" s="27" t="str">
        <x:v>The opening closes; unused, it passes.</x:v>
      </x:c>
      <x:c r="K103" s="27" t="str">
        <x:v>[runtime sign]</x:v>
      </x:c>
      <x:c r="L103" s="27" t="str">
        <x:v>[lookup Body|Sign]</x:v>
      </x:c>
      <x:c r="M103" s="27" t="str">
        <x:v>[runtime sign]</x:v>
      </x:c>
      <x:c r="N103" s="27" t="str">
        <x:v>[lookup Body|Sign]</x:v>
      </x:c>
      <x:c r="O103" s="27" t="str">
        <x:v>[runtime local datetime]</x:v>
      </x:c>
      <x:c r="P103" s="27" t="str">
        <x:v>[runtime orb]</x:v>
      </x:c>
      <x:c r="Q103" s="27" t="str">
        <x:v>[applying / exact / separating]</x:v>
      </x:c>
      <x:c r="R103" s="27" t="str">
        <x:v>[runtime flags]</x:v>
      </x:c>
      <x:c r="S103" s="27" t="str">
        <x:v>Write one integrated collective Sky Calendar forecast for Moon in [Planet A sign] sextile Pluto in [Planet B sign] at [calculated date/time]. Preserve this pair meaning: Immediate reaction meets power and leverage. An emotional event exposes who can enforce the outcome or control what happens next.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3" s="27" t="str">
        <x:v>A difficult family or care conversation reaches the person with enough authority to change the arrangement. Moon sextile Pluto can turn one disclosure about money, safety, resentment, or an old loyalty into a chance to correct the problem before silence hardens around it again. The useful part is that the actual source of fear is finally being named. Ask for the change that would reduce the pressure now. Do not waste the opening on hints everyone has already learned to ignore.</x:v>
      </x:c>
      <x:c r="U103" s="27" t="str"/>
      <x:c r="V103" s="27" t="str">
        <x:v>READY FOR RUNTIME</x:v>
      </x:c>
    </x:row>
    <x:row r="104">
      <x:c r="A104" s="27" t="n">
        <x:v>103</x:v>
      </x:c>
      <x:c r="B104" s="27" t="str">
        <x:v>sky.moon.conjunction.saturn</x:v>
      </x:c>
      <x:c r="C104" s="27" t="str">
        <x:v>moon</x:v>
      </x:c>
      <x:c r="D104" s="27" t="str">
        <x:v>conjunction</x:v>
      </x:c>
      <x:c r="E104" s="27" t="str">
        <x:v>saturn</x:v>
      </x:c>
      <x:c r="F104" s="27" t="str">
        <x:v>moon|saturn</x:v>
      </x:c>
      <x:c r="G104" s="27" t="str">
        <x:v>Immediate needs meet duty and limits. Care, housing, work, family obligation, or a deadline becomes part of the structure of the day.</x:v>
      </x:c>
      <x:c r="H104" s="27" t="str">
        <x:v>The two functions operate inside the same event. Benefit and complication arrive together, so separating one from the other is difficult.</x:v>
      </x:c>
      <x:c r="I104" s="27" t="str">
        <x:v>The two fuse and intensify as they close in.</x:v>
      </x:c>
      <x:c r="J104" s="27" t="str">
        <x:v>The fused theme peaks and discharges.</x:v>
      </x:c>
      <x:c r="K104" s="27" t="str">
        <x:v>[runtime sign]</x:v>
      </x:c>
      <x:c r="L104" s="27" t="str">
        <x:v>[lookup Body|Sign]</x:v>
      </x:c>
      <x:c r="M104" s="27" t="str">
        <x:v>[runtime sign]</x:v>
      </x:c>
      <x:c r="N104" s="27" t="str">
        <x:v>[lookup Body|Sign]</x:v>
      </x:c>
      <x:c r="O104" s="27" t="str">
        <x:v>[runtime local datetime]</x:v>
      </x:c>
      <x:c r="P104" s="27" t="str">
        <x:v>[runtime orb]</x:v>
      </x:c>
      <x:c r="Q104" s="27" t="str">
        <x:v>[applying / exact / separating]</x:v>
      </x:c>
      <x:c r="R104" s="27" t="str">
        <x:v>[runtime flags]</x:v>
      </x:c>
      <x:c r="S104" s="27" t="str">
        <x:v>Write one integrated collective Sky Calendar forecast for Moon in [Planet A sign] conjunction Saturn in [Planet B sign] at [calculated date/time]. Preserve this pair meaning: Immediate needs meet duty and limits. Care, housing, work, family obligation, or a deadline becomes part of the structure of the day.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4" s="27" t="str">
        <x:v>A private responsibility becomes the condition attached to every other decision. Moon conjunct Saturn can make caregiving, grief, housing, or family duty feel less like one task and more like the structure the entire schedule has to move around. The arrangement may be necessary and still narrow the life of the person expected to maintain it. Name what the responsibility actually requires each week. If the plan only works because one person never gets to be unavailable, the plan needs more support.</x:v>
      </x:c>
      <x:c r="U104" s="27" t="str"/>
      <x:c r="V104" s="27" t="str">
        <x:v>READY FOR RUNTIME</x:v>
      </x:c>
    </x:row>
    <x:row r="105">
      <x:c r="A105" s="27" t="n">
        <x:v>104</x:v>
      </x:c>
      <x:c r="B105" s="27" t="str">
        <x:v>sky.moon.opposition.saturn</x:v>
      </x:c>
      <x:c r="C105" s="27" t="str">
        <x:v>moon</x:v>
      </x:c>
      <x:c r="D105" s="27" t="str">
        <x:v>opposition</x:v>
      </x:c>
      <x:c r="E105" s="27" t="str">
        <x:v>saturn</x:v>
      </x:c>
      <x:c r="F105" s="27" t="str">
        <x:v>moon|saturn</x:v>
      </x:c>
      <x:c r="G105" s="27" t="str">
        <x:v>Immediate needs meet duty and limits. Care, housing, work, family obligation, or a deadline becomes part of the structure of the day.</x:v>
      </x:c>
      <x:c r="H105" s="27" t="str">
        <x:v>Two needs or positions face each other directly through different people, roles, institutions, or requirements. The tradeoff has to become explicit.</x:v>
      </x:c>
      <x:c r="I105" s="27" t="str">
        <x:v>A confrontation builds; the other side comes fully into view.</x:v>
      </x:c>
      <x:c r="J105" s="27" t="str">
        <x:v>The standoff resolves into balance or a split.</x:v>
      </x:c>
      <x:c r="K105" s="27" t="str">
        <x:v>[runtime sign]</x:v>
      </x:c>
      <x:c r="L105" s="27" t="str">
        <x:v>[lookup Body|Sign]</x:v>
      </x:c>
      <x:c r="M105" s="27" t="str">
        <x:v>[runtime sign]</x:v>
      </x:c>
      <x:c r="N105" s="27" t="str">
        <x:v>[lookup Body|Sign]</x:v>
      </x:c>
      <x:c r="O105" s="27" t="str">
        <x:v>[runtime local datetime]</x:v>
      </x:c>
      <x:c r="P105" s="27" t="str">
        <x:v>[runtime orb]</x:v>
      </x:c>
      <x:c r="Q105" s="27" t="str">
        <x:v>[applying / exact / separating]</x:v>
      </x:c>
      <x:c r="R105" s="27" t="str">
        <x:v>[runtime flags]</x:v>
      </x:c>
      <x:c r="S105" s="27" t="str">
        <x:v>Write one integrated collective Sky Calendar forecast for Moon in [Planet A sign] opposition Saturn in [Planet B sign] at [calculated date/time]. Preserve this pair meaning: Immediate needs meet duty and limits. Care, housing, work, family obligation, or a deadline becomes part of the structure of the day.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5" s="27" t="str">
        <x:v>A human crisis collides with an unyielding institutional timeline. Moon opposite Saturn can put a request for family leave, rent relief, or a deadline shift directly across from the contract, budget, or duty someone else is authorized to enforce. The rules may be applied correctly and still leave one person carrying the heaviest consequence alone. Ask what exception process exists, who can authorize it, and what documentation is required. Do not stop at the first person whose job is only to repeat the limit.</x:v>
      </x:c>
      <x:c r="U105" s="27" t="str"/>
      <x:c r="V105" s="27" t="str">
        <x:v>READY FOR RUNTIME</x:v>
      </x:c>
    </x:row>
    <x:row r="106">
      <x:c r="A106" s="27" t="n">
        <x:v>105</x:v>
      </x:c>
      <x:c r="B106" s="27" t="str">
        <x:v>sky.moon.square.saturn</x:v>
      </x:c>
      <x:c r="C106" s="27" t="str">
        <x:v>moon</x:v>
      </x:c>
      <x:c r="D106" s="27" t="str">
        <x:v>square</x:v>
      </x:c>
      <x:c r="E106" s="27" t="str">
        <x:v>saturn</x:v>
      </x:c>
      <x:c r="F106" s="27" t="str">
        <x:v>moon|saturn</x:v>
      </x:c>
      <x:c r="G106" s="27" t="str">
        <x:v>Immediate needs meet duty and limits. Care, housing, work, family obligation, or a deadline becomes part of the structure of the day.</x:v>
      </x:c>
      <x:c r="H106" s="27" t="str">
        <x:v>Friction makes the problem difficult to keep absorbing. Pressure repeats or escalates until the plan, rule, behavior, or distribution of responsibility changes.</x:v>
      </x:c>
      <x:c r="I106" s="27" t="str">
        <x:v>Friction builds toward a forced adjustment.</x:v>
      </x:c>
      <x:c r="J106" s="27" t="str">
        <x:v>The crisis passes; what was restructured settles.</x:v>
      </x:c>
      <x:c r="K106" s="27" t="str">
        <x:v>[runtime sign]</x:v>
      </x:c>
      <x:c r="L106" s="27" t="str">
        <x:v>[lookup Body|Sign]</x:v>
      </x:c>
      <x:c r="M106" s="27" t="str">
        <x:v>[runtime sign]</x:v>
      </x:c>
      <x:c r="N106" s="27" t="str">
        <x:v>[lookup Body|Sign]</x:v>
      </x:c>
      <x:c r="O106" s="27" t="str">
        <x:v>[runtime local datetime]</x:v>
      </x:c>
      <x:c r="P106" s="27" t="str">
        <x:v>[runtime orb]</x:v>
      </x:c>
      <x:c r="Q106" s="27" t="str">
        <x:v>[applying / exact / separating]</x:v>
      </x:c>
      <x:c r="R106" s="27" t="str">
        <x:v>[runtime flags]</x:v>
      </x:c>
      <x:c r="S106" s="27" t="str">
        <x:v>Write one integrated collective Sky Calendar forecast for Moon in [Planet A sign] square Saturn in [Planet B sign] at [calculated date/time]. Preserve this pair meaning: Immediate needs meet duty and limits. Care, housing, work, family obligation, or a deadline becomes part of the structure of the day.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6" s="27" t="str">
        <x:v>A family, housing, or care need runs into a deadline that will not move. Moon square Saturn can make an employer, landlord, lender, or agency keep returning to policy while the person living through the crisis keeps absorbing the cost. The rule may be technically correct and still create a preventable hardship. Get the deadline, policy, and escalation path in writing. Then focus on the part that can still be negotiated instead of spending the day arguing with a limit the person enforcing it has no authority to change.</x:v>
      </x:c>
      <x:c r="U106" s="27" t="str"/>
      <x:c r="V106" s="27" t="str">
        <x:v>READY FOR RUNTIME</x:v>
      </x:c>
    </x:row>
    <x:row r="107">
      <x:c r="A107" s="27" t="n">
        <x:v>106</x:v>
      </x:c>
      <x:c r="B107" s="27" t="str">
        <x:v>sky.moon.trine.saturn</x:v>
      </x:c>
      <x:c r="C107" s="27" t="str">
        <x:v>moon</x:v>
      </x:c>
      <x:c r="D107" s="27" t="str">
        <x:v>trine</x:v>
      </x:c>
      <x:c r="E107" s="27" t="str">
        <x:v>saturn</x:v>
      </x:c>
      <x:c r="F107" s="27" t="str">
        <x:v>moon|saturn</x:v>
      </x:c>
      <x:c r="G107" s="27" t="str">
        <x:v>Immediate needs meet duty and limits. Care, housing, work, family obligation, or a deadline becomes part of the structure of the day.</x:v>
      </x:c>
      <x:c r="H107" s="27" t="str">
        <x:v>The two functions support each other easily. Momentum is available with less resistance, which helps progress but can let a weak assumption travel farther.</x:v>
      </x:c>
      <x:c r="I107" s="27" t="str">
        <x:v>Ease and support build and arrive on their own.</x:v>
      </x:c>
      <x:c r="J107" s="27" t="str">
        <x:v>The ease withdraws; the flow passes, used or not.</x:v>
      </x:c>
      <x:c r="K107" s="27" t="str">
        <x:v>[runtime sign]</x:v>
      </x:c>
      <x:c r="L107" s="27" t="str">
        <x:v>[lookup Body|Sign]</x:v>
      </x:c>
      <x:c r="M107" s="27" t="str">
        <x:v>[runtime sign]</x:v>
      </x:c>
      <x:c r="N107" s="27" t="str">
        <x:v>[lookup Body|Sign]</x:v>
      </x:c>
      <x:c r="O107" s="27" t="str">
        <x:v>[runtime local datetime]</x:v>
      </x:c>
      <x:c r="P107" s="27" t="str">
        <x:v>[runtime orb]</x:v>
      </x:c>
      <x:c r="Q107" s="27" t="str">
        <x:v>[applying / exact / separating]</x:v>
      </x:c>
      <x:c r="R107" s="27" t="str">
        <x:v>[runtime flags]</x:v>
      </x:c>
      <x:c r="S107" s="27" t="str">
        <x:v>Write one integrated collective Sky Calendar forecast for Moon in [Planet A sign] trine Saturn in [Planet B sign] at [calculated date/time]. Preserve this pair meaning: Immediate needs meet duty and limits. Care, housing, work, family obligation, or a deadline becomes part of the structure of the day.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7" s="27" t="str">
        <x:v>The caregiver schedule, budget, and backup plan are confirmed before the need becomes urgent. Moon trine Saturn can make compassion more reliable because everybody knows who is covering each shift, what the money pays for, and when the arrangement will be reviewed. Care feels less cold when the structure protects both the person receiving it and the people providing it. Keep the backup current. A good plan should survive one person getting sick, needing a day off, or simply reaching their limit.</x:v>
      </x:c>
      <x:c r="U107" s="27" t="str"/>
      <x:c r="V107" s="27" t="str">
        <x:v>READY FOR RUNTIME</x:v>
      </x:c>
    </x:row>
    <x:row r="108">
      <x:c r="A108" s="27" t="n">
        <x:v>107</x:v>
      </x:c>
      <x:c r="B108" s="27" t="str">
        <x:v>sky.moon.sextile.saturn</x:v>
      </x:c>
      <x:c r="C108" s="27" t="str">
        <x:v>moon</x:v>
      </x:c>
      <x:c r="D108" s="27" t="str">
        <x:v>sextile</x:v>
      </x:c>
      <x:c r="E108" s="27" t="str">
        <x:v>saturn</x:v>
      </x:c>
      <x:c r="F108" s="27" t="str">
        <x:v>moon|saturn</x:v>
      </x:c>
      <x:c r="G108" s="27" t="str">
        <x:v>Immediate needs meet duty and limits. Care, housing, work, family obligation, or a deadline becomes part of the structure of the day.</x:v>
      </x:c>
      <x:c r="H108" s="27" t="str">
        <x:v>A workable opening appears between the two functions. The opportunity is useful but not automatic; someone still has to notice it and make the specific move.</x:v>
      </x:c>
      <x:c r="I108" s="27" t="str">
        <x:v>A supportive opening becomes available; offered, not automatic.</x:v>
      </x:c>
      <x:c r="J108" s="27" t="str">
        <x:v>The opening closes; unused, it passes.</x:v>
      </x:c>
      <x:c r="K108" s="27" t="str">
        <x:v>[runtime sign]</x:v>
      </x:c>
      <x:c r="L108" s="27" t="str">
        <x:v>[lookup Body|Sign]</x:v>
      </x:c>
      <x:c r="M108" s="27" t="str">
        <x:v>[runtime sign]</x:v>
      </x:c>
      <x:c r="N108" s="27" t="str">
        <x:v>[lookup Body|Sign]</x:v>
      </x:c>
      <x:c r="O108" s="27" t="str">
        <x:v>[runtime local datetime]</x:v>
      </x:c>
      <x:c r="P108" s="27" t="str">
        <x:v>[runtime orb]</x:v>
      </x:c>
      <x:c r="Q108" s="27" t="str">
        <x:v>[applying / exact / separating]</x:v>
      </x:c>
      <x:c r="R108" s="27" t="str">
        <x:v>[runtime flags]</x:v>
      </x:c>
      <x:c r="S108" s="27" t="str">
        <x:v>Write one integrated collective Sky Calendar forecast for Moon in [Planet A sign] sextile Saturn in [Planet B sign] at [calculated date/time]. Preserve this pair meaning: Immediate needs meet duty and limits. Care, housing, work, family obligation, or a deadline becomes part of the structure of the day.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8" s="27" t="str">
        <x:v>A care plan becomes workable after one person names the limit everyone else was avoiding. Moon sextile Saturn can make a smaller schedule, arranged payment, or moved deadline enough to keep the responsibility from falling apart. The help becomes more reliable because time and energy are finally being treated as finite. Make the adjustment official. Name who owns the next step, when the arrangement ends, and what happens if the need lasts longer than expected.</x:v>
      </x:c>
      <x:c r="U108" s="27" t="str"/>
      <x:c r="V108" s="27" t="str">
        <x:v>READY FOR RUNTIME</x:v>
      </x:c>
    </x:row>
    <x:row r="109">
      <x:c r="A109" s="27" t="n">
        <x:v>108</x:v>
      </x:c>
      <x:c r="B109" s="27" t="str">
        <x:v>sky.moon.conjunction.uranus</x:v>
      </x:c>
      <x:c r="C109" s="27" t="str">
        <x:v>moon</x:v>
      </x:c>
      <x:c r="D109" s="27" t="str">
        <x:v>conjunction</x:v>
      </x:c>
      <x:c r="E109" s="27" t="str">
        <x:v>uranus</x:v>
      </x:c>
      <x:c r="F109" s="27" t="str">
        <x:v>moon|uranus</x:v>
      </x:c>
      <x:c r="G109" s="27" t="str">
        <x:v>Needs, routines, and public mood meet disruption. A sudden change forces people to adjust what had felt predictable.</x:v>
      </x:c>
      <x:c r="H109" s="27" t="str">
        <x:v>The two functions operate inside the same event. Benefit and complication arrive together, so separating one from the other is difficult.</x:v>
      </x:c>
      <x:c r="I109" s="27" t="str">
        <x:v>The two fuse and intensify as they close in.</x:v>
      </x:c>
      <x:c r="J109" s="27" t="str">
        <x:v>The fused theme peaks and discharges.</x:v>
      </x:c>
      <x:c r="K109" s="27" t="str">
        <x:v>[runtime sign]</x:v>
      </x:c>
      <x:c r="L109" s="27" t="str">
        <x:v>[lookup Body|Sign]</x:v>
      </x:c>
      <x:c r="M109" s="27" t="str">
        <x:v>[runtime sign]</x:v>
      </x:c>
      <x:c r="N109" s="27" t="str">
        <x:v>[lookup Body|Sign]</x:v>
      </x:c>
      <x:c r="O109" s="27" t="str">
        <x:v>[runtime local datetime]</x:v>
      </x:c>
      <x:c r="P109" s="27" t="str">
        <x:v>[runtime orb]</x:v>
      </x:c>
      <x:c r="Q109" s="27" t="str">
        <x:v>[applying / exact / separating]</x:v>
      </x:c>
      <x:c r="R109" s="27" t="str">
        <x:v>[runtime flags]</x:v>
      </x:c>
      <x:c r="S109" s="27" t="str">
        <x:v>Write one integrated collective Sky Calendar forecast for Moon in [Planet A sign] conjunction Uranus in [Planet B sign] at [calculated date/time]. Preserve this pair meaning: Needs, routines, and public mood meet disruption. A sudden change forces people to adjust what had felt predictable.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09" s="27" t="str">
        <x:v>A comfortable routine is disrupted overnight by a price hike, property shift, or forced technology upgrade. Moon conjunct Uranus can make the emotional shock and the practical change arrive at the same time, leaving people to replace something they depended on before they have processed losing it. The new system may offer more freedom to some and create chaos for others. Deal with the immediate replacement first. People adapt faster when they know where they are sleeping, paying, logging in, or getting the service tomorrow morning.</x:v>
      </x:c>
      <x:c r="U109" s="27" t="str"/>
      <x:c r="V109" s="27" t="str">
        <x:v>READY FOR RUNTIME</x:v>
      </x:c>
    </x:row>
    <x:row r="110">
      <x:c r="A110" s="27" t="n">
        <x:v>109</x:v>
      </x:c>
      <x:c r="B110" s="27" t="str">
        <x:v>sky.moon.opposition.uranus</x:v>
      </x:c>
      <x:c r="C110" s="27" t="str">
        <x:v>moon</x:v>
      </x:c>
      <x:c r="D110" s="27" t="str">
        <x:v>opposition</x:v>
      </x:c>
      <x:c r="E110" s="27" t="str">
        <x:v>uranus</x:v>
      </x:c>
      <x:c r="F110" s="27" t="str">
        <x:v>moon|uranus</x:v>
      </x:c>
      <x:c r="G110" s="27" t="str">
        <x:v>Needs, routines, and public mood meet disruption. A sudden change forces people to adjust what had felt predictable.</x:v>
      </x:c>
      <x:c r="H110" s="27" t="str">
        <x:v>Two needs or positions face each other directly through different people, roles, institutions, or requirements. The tradeoff has to become explicit.</x:v>
      </x:c>
      <x:c r="I110" s="27" t="str">
        <x:v>A confrontation builds; the other side comes fully into view.</x:v>
      </x:c>
      <x:c r="J110" s="27" t="str">
        <x:v>The standoff resolves into balance or a split.</x:v>
      </x:c>
      <x:c r="K110" s="27" t="str">
        <x:v>[runtime sign]</x:v>
      </x:c>
      <x:c r="L110" s="27" t="str">
        <x:v>[lookup Body|Sign]</x:v>
      </x:c>
      <x:c r="M110" s="27" t="str">
        <x:v>[runtime sign]</x:v>
      </x:c>
      <x:c r="N110" s="27" t="str">
        <x:v>[lookup Body|Sign]</x:v>
      </x:c>
      <x:c r="O110" s="27" t="str">
        <x:v>[runtime local datetime]</x:v>
      </x:c>
      <x:c r="P110" s="27" t="str">
        <x:v>[runtime orb]</x:v>
      </x:c>
      <x:c r="Q110" s="27" t="str">
        <x:v>[applying / exact / separating]</x:v>
      </x:c>
      <x:c r="R110" s="27" t="str">
        <x:v>[runtime flags]</x:v>
      </x:c>
      <x:c r="S110" s="27" t="str">
        <x:v>Write one integrated collective Sky Calendar forecast for Moon in [Planet A sign] opposition Uranus in [Planet B sign] at [calculated date/time]. Preserve this pair meaning: Needs, routines, and public mood meet disruption. A sudden change forces people to adjust what had felt predictable.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0" s="27" t="str">
        <x:v>One group fights to preserve a familiar routine while another insists the arrangement has to change now. Moon opposite Uranus can put continuity directly across from reform, especially when the old system has been reliable for some people and restrictive for others. Improvement can still carry grief. Build the transition around the people with the least flexibility. A better system is harder to defend if the people who depended on the old one are simply told to adjust on their own.</x:v>
      </x:c>
      <x:c r="U110" s="27" t="str"/>
      <x:c r="V110" s="27" t="str">
        <x:v>READY FOR RUNTIME</x:v>
      </x:c>
    </x:row>
    <x:row r="111">
      <x:c r="A111" s="27" t="n">
        <x:v>110</x:v>
      </x:c>
      <x:c r="B111" s="27" t="str">
        <x:v>sky.moon.square.uranus</x:v>
      </x:c>
      <x:c r="C111" s="27" t="str">
        <x:v>moon</x:v>
      </x:c>
      <x:c r="D111" s="27" t="str">
        <x:v>square</x:v>
      </x:c>
      <x:c r="E111" s="27" t="str">
        <x:v>uranus</x:v>
      </x:c>
      <x:c r="F111" s="27" t="str">
        <x:v>moon|uranus</x:v>
      </x:c>
      <x:c r="G111" s="27" t="str">
        <x:v>Needs, routines, and public mood meet disruption. A sudden change forces people to adjust what had felt predictable.</x:v>
      </x:c>
      <x:c r="H111" s="27" t="str">
        <x:v>Friction makes the problem difficult to keep absorbing. Pressure repeats or escalates until the plan, rule, behavior, or distribution of responsibility changes.</x:v>
      </x:c>
      <x:c r="I111" s="27" t="str">
        <x:v>Friction builds toward a forced adjustment.</x:v>
      </x:c>
      <x:c r="J111" s="27" t="str">
        <x:v>The crisis passes; what was restructured settles.</x:v>
      </x:c>
      <x:c r="K111" s="27" t="str">
        <x:v>[runtime sign]</x:v>
      </x:c>
      <x:c r="L111" s="27" t="str">
        <x:v>[lookup Body|Sign]</x:v>
      </x:c>
      <x:c r="M111" s="27" t="str">
        <x:v>[runtime sign]</x:v>
      </x:c>
      <x:c r="N111" s="27" t="str">
        <x:v>[lookup Body|Sign]</x:v>
      </x:c>
      <x:c r="O111" s="27" t="str">
        <x:v>[runtime local datetime]</x:v>
      </x:c>
      <x:c r="P111" s="27" t="str">
        <x:v>[runtime orb]</x:v>
      </x:c>
      <x:c r="Q111" s="27" t="str">
        <x:v>[applying / exact / separating]</x:v>
      </x:c>
      <x:c r="R111" s="27" t="str">
        <x:v>[runtime flags]</x:v>
      </x:c>
      <x:c r="S111" s="27" t="str">
        <x:v>Write one integrated collective Sky Calendar forecast for Moon in [Planet A sign] square Uranus in [Planet B sign] at [calculated date/time]. Preserve this pair meaning: Needs, routines, and public mood meet disruption. A sudden change forces people to adjust what had felt predictable.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1" s="27" t="str">
        <x:v>A sudden closure, outage, or schedule reversal knocks out the routine people were relying on. Moon square Uranus can turn an unavoidable change into a much larger crisis when families, staff, or residents are left scrambling for care, transportation, supplies, and information at the same time. The people with the least flexibility absorb the chaos first. Give them the replacement plan before the explanation. Then explain what changed, how long it may last, and who is responsible for the next update.</x:v>
      </x:c>
      <x:c r="U111" s="27" t="str"/>
      <x:c r="V111" s="27" t="str">
        <x:v>READY FOR RUNTIME</x:v>
      </x:c>
    </x:row>
    <x:row r="112">
      <x:c r="A112" s="27" t="n">
        <x:v>111</x:v>
      </x:c>
      <x:c r="B112" s="27" t="str">
        <x:v>sky.moon.trine.uranus</x:v>
      </x:c>
      <x:c r="C112" s="27" t="str">
        <x:v>moon</x:v>
      </x:c>
      <x:c r="D112" s="27" t="str">
        <x:v>trine</x:v>
      </x:c>
      <x:c r="E112" s="27" t="str">
        <x:v>uranus</x:v>
      </x:c>
      <x:c r="F112" s="27" t="str">
        <x:v>moon|uranus</x:v>
      </x:c>
      <x:c r="G112" s="27" t="str">
        <x:v>Needs, routines, and public mood meet disruption. A sudden change forces people to adjust what had felt predictable.</x:v>
      </x:c>
      <x:c r="H112" s="27" t="str">
        <x:v>The two functions support each other easily. Momentum is available with less resistance, which helps progress but can let a weak assumption travel farther.</x:v>
      </x:c>
      <x:c r="I112" s="27" t="str">
        <x:v>Ease and support build and arrive on their own.</x:v>
      </x:c>
      <x:c r="J112" s="27" t="str">
        <x:v>The ease withdraws; the flow passes, used or not.</x:v>
      </x:c>
      <x:c r="K112" s="27" t="str">
        <x:v>[runtime sign]</x:v>
      </x:c>
      <x:c r="L112" s="27" t="str">
        <x:v>[lookup Body|Sign]</x:v>
      </x:c>
      <x:c r="M112" s="27" t="str">
        <x:v>[runtime sign]</x:v>
      </x:c>
      <x:c r="N112" s="27" t="str">
        <x:v>[lookup Body|Sign]</x:v>
      </x:c>
      <x:c r="O112" s="27" t="str">
        <x:v>[runtime local datetime]</x:v>
      </x:c>
      <x:c r="P112" s="27" t="str">
        <x:v>[runtime orb]</x:v>
      </x:c>
      <x:c r="Q112" s="27" t="str">
        <x:v>[applying / exact / separating]</x:v>
      </x:c>
      <x:c r="R112" s="27" t="str">
        <x:v>[runtime flags]</x:v>
      </x:c>
      <x:c r="S112" s="27" t="str">
        <x:v>Write one integrated collective Sky Calendar forecast for Moon in [Planet A sign] trine Uranus in [Planet B sign] at [calculated date/time]. Preserve this pair meaning: Needs, routines, and public mood meet disruption. A sudden change forces people to adjust what had felt predictable.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2" s="27" t="str">
        <x:v>A new arrangement makes daily life easier almost immediately. Moon trine Uranus can make flexible hours, shared transport, accessible technology, or a changed household role solve a problem people had started treating as permanent. The relief is the evidence. Keep what makes the day easier and do not rebuild the old restriction just because it is familiar. A good change should reduce strain without asking everyone to live in constant instability.</x:v>
      </x:c>
      <x:c r="U112" s="27" t="str"/>
      <x:c r="V112" s="27" t="str">
        <x:v>READY FOR RUNTIME</x:v>
      </x:c>
    </x:row>
    <x:row r="113">
      <x:c r="A113" s="27" t="n">
        <x:v>112</x:v>
      </x:c>
      <x:c r="B113" s="27" t="str">
        <x:v>sky.moon.sextile.uranus</x:v>
      </x:c>
      <x:c r="C113" s="27" t="str">
        <x:v>moon</x:v>
      </x:c>
      <x:c r="D113" s="27" t="str">
        <x:v>sextile</x:v>
      </x:c>
      <x:c r="E113" s="27" t="str">
        <x:v>uranus</x:v>
      </x:c>
      <x:c r="F113" s="27" t="str">
        <x:v>moon|uranus</x:v>
      </x:c>
      <x:c r="G113" s="27" t="str">
        <x:v>Needs, routines, and public mood meet disruption. A sudden change forces people to adjust what had felt predictable.</x:v>
      </x:c>
      <x:c r="H113" s="27" t="str">
        <x:v>A workable opening appears between the two functions. The opportunity is useful but not automatic; someone still has to notice it and make the specific move.</x:v>
      </x:c>
      <x:c r="I113" s="27" t="str">
        <x:v>A supportive opening becomes available; offered, not automatic.</x:v>
      </x:c>
      <x:c r="J113" s="27" t="str">
        <x:v>The opening closes; unused, it passes.</x:v>
      </x:c>
      <x:c r="K113" s="27" t="str">
        <x:v>[runtime sign]</x:v>
      </x:c>
      <x:c r="L113" s="27" t="str">
        <x:v>[lookup Body|Sign]</x:v>
      </x:c>
      <x:c r="M113" s="27" t="str">
        <x:v>[runtime sign]</x:v>
      </x:c>
      <x:c r="N113" s="27" t="str">
        <x:v>[lookup Body|Sign]</x:v>
      </x:c>
      <x:c r="O113" s="27" t="str">
        <x:v>[runtime local datetime]</x:v>
      </x:c>
      <x:c r="P113" s="27" t="str">
        <x:v>[runtime orb]</x:v>
      </x:c>
      <x:c r="Q113" s="27" t="str">
        <x:v>[applying / exact / separating]</x:v>
      </x:c>
      <x:c r="R113" s="27" t="str">
        <x:v>[runtime flags]</x:v>
      </x:c>
      <x:c r="S113" s="27" t="str">
        <x:v>Write one integrated collective Sky Calendar forecast for Moon in [Planet A sign] sextile Uranus in [Planet B sign] at [calculated date/time]. Preserve this pair meaning: Needs, routines, and public mood meet disruption. A sudden change forces people to adjust what had felt predictable.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3" s="27" t="str">
        <x:v>A small change in routine gives a household or team breathing room it did not know it had. Moon sextile Uranus can make a different schedule, tool, transport option, or care arrangement useful before the existing system fails completely. The adjustment works because it removes one actual source of strain without demanding that everything else change too. Try it long enough to see the effect. If the day gets easier, keep the part that helped and stop defending the rule that caused the problem.</x:v>
      </x:c>
      <x:c r="U113" s="27" t="str"/>
      <x:c r="V113" s="27" t="str">
        <x:v>READY FOR RUNTIME</x:v>
      </x:c>
    </x:row>
    <x:row r="114">
      <x:c r="A114" s="27" t="n">
        <x:v>113</x:v>
      </x:c>
      <x:c r="B114" s="27" t="str">
        <x:v>sky.moon.conjunction.venus</x:v>
      </x:c>
      <x:c r="C114" s="27" t="str">
        <x:v>moon</x:v>
      </x:c>
      <x:c r="D114" s="27" t="str">
        <x:v>conjunction</x:v>
      </x:c>
      <x:c r="E114" s="27" t="str">
        <x:v>venus</x:v>
      </x:c>
      <x:c r="F114" s="27" t="str">
        <x:v>moon|venus</x:v>
      </x:c>
      <x:c r="G114" s="27" t="str">
        <x:v>Needs and care meet value, comfort, and relationship. Affection and fairness become visible through money, effort, attention, or practical support.</x:v>
      </x:c>
      <x:c r="H114" s="27" t="str">
        <x:v>The two functions operate inside the same event. Benefit and complication arrive together, so separating one from the other is difficult.</x:v>
      </x:c>
      <x:c r="I114" s="27" t="str">
        <x:v>The two fuse and intensify as they close in.</x:v>
      </x:c>
      <x:c r="J114" s="27" t="str">
        <x:v>The fused theme peaks and discharges.</x:v>
      </x:c>
      <x:c r="K114" s="27" t="str">
        <x:v>[runtime sign]</x:v>
      </x:c>
      <x:c r="L114" s="27" t="str">
        <x:v>[lookup Body|Sign]</x:v>
      </x:c>
      <x:c r="M114" s="27" t="str">
        <x:v>[runtime sign]</x:v>
      </x:c>
      <x:c r="N114" s="27" t="str">
        <x:v>[lookup Body|Sign]</x:v>
      </x:c>
      <x:c r="O114" s="27" t="str">
        <x:v>[runtime local datetime]</x:v>
      </x:c>
      <x:c r="P114" s="27" t="str">
        <x:v>[runtime orb]</x:v>
      </x:c>
      <x:c r="Q114" s="27" t="str">
        <x:v>[applying / exact / separating]</x:v>
      </x:c>
      <x:c r="R114" s="27" t="str">
        <x:v>[runtime flags]</x:v>
      </x:c>
      <x:c r="S114" s="27" t="str">
        <x:v>Write one integrated collective Sky Calendar forecast for Moon in [Planet A sign] conjunction Venus in [Planet B sign] at [calculated date/time]. Preserve this pair meaning: Needs and care meet value, comfort, and relationship. Affection and fairness become visible through money, effort, attention, or practical support. For the conjunction, apply this behavior: The two functions operate inside the same event. Benefit and complication arrive together, so separating one from the other is difficult. Use the Planet A sign to change how Moon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4" s="27" t="str">
        <x:v>An act of care becomes the main social story of the day. Moon conjunct Venus can make a meal, gift, fundraiser, family decision, or public gesture turn affection into something visible and shared. The care is genuine, but the exchange also reveals who is welcomed easily and who is still expected to make do. Notice who received the support and who quietly provided it. Appreciation is more convincing when the people doing the work are included in the generosity.</x:v>
      </x:c>
      <x:c r="U114" s="27" t="str"/>
      <x:c r="V114" s="27" t="str">
        <x:v>READY FOR RUNTIME</x:v>
      </x:c>
    </x:row>
    <x:row r="115">
      <x:c r="A115" s="27" t="n">
        <x:v>114</x:v>
      </x:c>
      <x:c r="B115" s="27" t="str">
        <x:v>sky.moon.opposition.venus</x:v>
      </x:c>
      <x:c r="C115" s="27" t="str">
        <x:v>moon</x:v>
      </x:c>
      <x:c r="D115" s="27" t="str">
        <x:v>opposition</x:v>
      </x:c>
      <x:c r="E115" s="27" t="str">
        <x:v>venus</x:v>
      </x:c>
      <x:c r="F115" s="27" t="str">
        <x:v>moon|venus</x:v>
      </x:c>
      <x:c r="G115" s="27" t="str">
        <x:v>Needs and care meet value, comfort, and relationship. Affection and fairness become visible through money, effort, attention, or practical support.</x:v>
      </x:c>
      <x:c r="H115" s="27" t="str">
        <x:v>Two needs or positions face each other directly through different people, roles, institutions, or requirements. The tradeoff has to become explicit.</x:v>
      </x:c>
      <x:c r="I115" s="27" t="str">
        <x:v>A confrontation builds; the other side comes fully into view.</x:v>
      </x:c>
      <x:c r="J115" s="27" t="str">
        <x:v>The standoff resolves into balance or a split.</x:v>
      </x:c>
      <x:c r="K115" s="27" t="str">
        <x:v>[runtime sign]</x:v>
      </x:c>
      <x:c r="L115" s="27" t="str">
        <x:v>[lookup Body|Sign]</x:v>
      </x:c>
      <x:c r="M115" s="27" t="str">
        <x:v>[runtime sign]</x:v>
      </x:c>
      <x:c r="N115" s="27" t="str">
        <x:v>[lookup Body|Sign]</x:v>
      </x:c>
      <x:c r="O115" s="27" t="str">
        <x:v>[runtime local datetime]</x:v>
      </x:c>
      <x:c r="P115" s="27" t="str">
        <x:v>[runtime orb]</x:v>
      </x:c>
      <x:c r="Q115" s="27" t="str">
        <x:v>[applying / exact / separating]</x:v>
      </x:c>
      <x:c r="R115" s="27" t="str">
        <x:v>[runtime flags]</x:v>
      </x:c>
      <x:c r="S115" s="27" t="str">
        <x:v>Write one integrated collective Sky Calendar forecast for Moon in [Planet A sign] opposition Venus in [Planet B sign] at [calculated date/time]. Preserve this pair meaning: Needs and care meet value, comfort, and relationship. Affection and fairness become visible through money, effort, attention, or practical support. For the opposition, apply this behavior: Two needs or positions face each other directly through different people, roles, institutions, or requirements. The tradeoff has to become explicit. Use the Planet A sign to change how Moon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5" s="27" t="str">
        <x:v>One side wants to preserve the relationship and the pleasant plan while the other can no longer ignore what the arrangement costs at home. Moon opposite Venus can put affection directly across from the time, money, or care the same person keeps giving up to preserve the plan. A trip, purchase, party, or recurring favor can be enjoyable and still be unfair. Put the private cost into the conversation. A compromise only works if the burden stops being the price of keeping everyone else happy.</x:v>
      </x:c>
      <x:c r="U115" s="27" t="str"/>
      <x:c r="V115" s="27" t="str">
        <x:v>READY FOR RUNTIME</x:v>
      </x:c>
    </x:row>
    <x:row r="116">
      <x:c r="A116" s="27" t="n">
        <x:v>115</x:v>
      </x:c>
      <x:c r="B116" s="27" t="str">
        <x:v>sky.moon.square.venus</x:v>
      </x:c>
      <x:c r="C116" s="27" t="str">
        <x:v>moon</x:v>
      </x:c>
      <x:c r="D116" s="27" t="str">
        <x:v>square</x:v>
      </x:c>
      <x:c r="E116" s="27" t="str">
        <x:v>venus</x:v>
      </x:c>
      <x:c r="F116" s="27" t="str">
        <x:v>moon|venus</x:v>
      </x:c>
      <x:c r="G116" s="27" t="str">
        <x:v>Needs and care meet value, comfort, and relationship. Affection and fairness become visible through money, effort, attention, or practical support.</x:v>
      </x:c>
      <x:c r="H116" s="27" t="str">
        <x:v>Friction makes the problem difficult to keep absorbing. Pressure repeats or escalates until the plan, rule, behavior, or distribution of responsibility changes.</x:v>
      </x:c>
      <x:c r="I116" s="27" t="str">
        <x:v>Friction builds toward a forced adjustment.</x:v>
      </x:c>
      <x:c r="J116" s="27" t="str">
        <x:v>The crisis passes; what was restructured settles.</x:v>
      </x:c>
      <x:c r="K116" s="27" t="str">
        <x:v>[runtime sign]</x:v>
      </x:c>
      <x:c r="L116" s="27" t="str">
        <x:v>[lookup Body|Sign]</x:v>
      </x:c>
      <x:c r="M116" s="27" t="str">
        <x:v>[runtime sign]</x:v>
      </x:c>
      <x:c r="N116" s="27" t="str">
        <x:v>[lookup Body|Sign]</x:v>
      </x:c>
      <x:c r="O116" s="27" t="str">
        <x:v>[runtime local datetime]</x:v>
      </x:c>
      <x:c r="P116" s="27" t="str">
        <x:v>[runtime orb]</x:v>
      </x:c>
      <x:c r="Q116" s="27" t="str">
        <x:v>[applying / exact / separating]</x:v>
      </x:c>
      <x:c r="R116" s="27" t="str">
        <x:v>[runtime flags]</x:v>
      </x:c>
      <x:c r="S116" s="27" t="str">
        <x:v>Write one integrated collective Sky Calendar forecast for Moon in [Planet A sign] square Venus in [Planet B sign] at [calculated date/time]. Preserve this pair meaning: Needs and care meet value, comfort, and relationship. Affection and fairness become visible through money, effort, attention, or practical support. For the square, apply this behavior: Friction makes the problem difficult to keep absorbing. Pressure repeats or escalates until the plan, rule, behavior, or distribution of responsibility changes. Use the Planet A sign to change how Moon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6" s="27" t="str">
        <x:v>A celebration built to look generous leaves the people doing the care work overwhelmed and unpaid. Moon square Venus can make childcare, cleanup, accessibility, food restrictions, and other practical needs impossible to hide once the event starts failing the people expected to make it look effortless. The room can be beautiful and the workload still be unfair. Count the work and money before adding another detail for appearances. If the event depends on invisible work, make that work visible in the plan and the budget.</x:v>
      </x:c>
      <x:c r="U116" s="27" t="str"/>
      <x:c r="V116" s="27" t="str">
        <x:v>READY FOR RUNTIME</x:v>
      </x:c>
    </x:row>
    <x:row r="117">
      <x:c r="A117" s="27" t="n">
        <x:v>116</x:v>
      </x:c>
      <x:c r="B117" s="27" t="str">
        <x:v>sky.moon.trine.venus</x:v>
      </x:c>
      <x:c r="C117" s="27" t="str">
        <x:v>moon</x:v>
      </x:c>
      <x:c r="D117" s="27" t="str">
        <x:v>trine</x:v>
      </x:c>
      <x:c r="E117" s="27" t="str">
        <x:v>venus</x:v>
      </x:c>
      <x:c r="F117" s="27" t="str">
        <x:v>moon|venus</x:v>
      </x:c>
      <x:c r="G117" s="27" t="str">
        <x:v>Needs and care meet value, comfort, and relationship. Affection and fairness become visible through money, effort, attention, or practical support.</x:v>
      </x:c>
      <x:c r="H117" s="27" t="str">
        <x:v>The two functions support each other easily. Momentum is available with less resistance, which helps progress but can let a weak assumption travel farther.</x:v>
      </x:c>
      <x:c r="I117" s="27" t="str">
        <x:v>Ease and support build and arrive on their own.</x:v>
      </x:c>
      <x:c r="J117" s="27" t="str">
        <x:v>The ease withdraws; the flow passes, used or not.</x:v>
      </x:c>
      <x:c r="K117" s="27" t="str">
        <x:v>[runtime sign]</x:v>
      </x:c>
      <x:c r="L117" s="27" t="str">
        <x:v>[lookup Body|Sign]</x:v>
      </x:c>
      <x:c r="M117" s="27" t="str">
        <x:v>[runtime sign]</x:v>
      </x:c>
      <x:c r="N117" s="27" t="str">
        <x:v>[lookup Body|Sign]</x:v>
      </x:c>
      <x:c r="O117" s="27" t="str">
        <x:v>[runtime local datetime]</x:v>
      </x:c>
      <x:c r="P117" s="27" t="str">
        <x:v>[runtime orb]</x:v>
      </x:c>
      <x:c r="Q117" s="27" t="str">
        <x:v>[applying / exact / separating]</x:v>
      </x:c>
      <x:c r="R117" s="27" t="str">
        <x:v>[runtime flags]</x:v>
      </x:c>
      <x:c r="S117" s="27" t="str">
        <x:v>Write one integrated collective Sky Calendar forecast for Moon in [Planet A sign] trine Venus in [Planet B sign] at [calculated date/time]. Preserve this pair meaning: Needs and care meet value, comfort, and relationship. Affection and fairness become visible through money, effort, attention, or practical support. For the trine, apply this behavior: The two functions support each other easily. Momentum is available with less resistance, which helps progress but can let a weak assumption travel farther. Use the Planet A sign to change how Moon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7" s="27" t="str">
        <x:v>Care arrives in a form that feels thoughtful because someone remembered the details. Moon trine Venus can make affection show up as the right food, a prepared room, a quietly handled payment, or an accommodation that does not turn someone's need into a spectacle. The gesture feels good because it reduces work instead of creating another obligation. Keep doing the practical thing that made the person more comfortable. Thoughtfulness is usually easier to recognize in what somebody remembered than in what they said.</x:v>
      </x:c>
      <x:c r="U117" s="27" t="str"/>
      <x:c r="V117" s="27" t="str">
        <x:v>READY FOR RUNTIME</x:v>
      </x:c>
    </x:row>
    <x:row r="118">
      <x:c r="A118" s="27" t="n">
        <x:v>117</x:v>
      </x:c>
      <x:c r="B118" s="27" t="str">
        <x:v>sky.moon.sextile.venus</x:v>
      </x:c>
      <x:c r="C118" s="27" t="str">
        <x:v>moon</x:v>
      </x:c>
      <x:c r="D118" s="27" t="str">
        <x:v>sextile</x:v>
      </x:c>
      <x:c r="E118" s="27" t="str">
        <x:v>venus</x:v>
      </x:c>
      <x:c r="F118" s="27" t="str">
        <x:v>moon|venus</x:v>
      </x:c>
      <x:c r="G118" s="27" t="str">
        <x:v>Needs and care meet value, comfort, and relationship. Affection and fairness become visible through money, effort, attention, or practical support.</x:v>
      </x:c>
      <x:c r="H118" s="27" t="str">
        <x:v>A workable opening appears between the two functions. The opportunity is useful but not automatic; someone still has to notice it and make the specific move.</x:v>
      </x:c>
      <x:c r="I118" s="27" t="str">
        <x:v>A supportive opening becomes available; offered, not automatic.</x:v>
      </x:c>
      <x:c r="J118" s="27" t="str">
        <x:v>The opening closes; unused, it passes.</x:v>
      </x:c>
      <x:c r="K118" s="27" t="str">
        <x:v>[runtime sign]</x:v>
      </x:c>
      <x:c r="L118" s="27" t="str">
        <x:v>[lookup Body|Sign]</x:v>
      </x:c>
      <x:c r="M118" s="27" t="str">
        <x:v>[runtime sign]</x:v>
      </x:c>
      <x:c r="N118" s="27" t="str">
        <x:v>[lookup Body|Sign]</x:v>
      </x:c>
      <x:c r="O118" s="27" t="str">
        <x:v>[runtime local datetime]</x:v>
      </x:c>
      <x:c r="P118" s="27" t="str">
        <x:v>[runtime orb]</x:v>
      </x:c>
      <x:c r="Q118" s="27" t="str">
        <x:v>[applying / exact / separating]</x:v>
      </x:c>
      <x:c r="R118" s="27" t="str">
        <x:v>[runtime flags]</x:v>
      </x:c>
      <x:c r="S118" s="27" t="str">
        <x:v>Write one integrated collective Sky Calendar forecast for Moon in [Planet A sign] sextile Venus in [Planet B sign] at [calculated date/time]. Preserve this pair meaning: Needs and care meet value, comfort, and relationship. Affection and fairness become visible through money, effort, attention, or practical support. For the sextile, apply this behavior: A workable opening appears between the two functions. The opportunity is useful but not automatic; someone still has to notice it and make the specific move. Use the Planet A sign to change how Moon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8" s="27" t="str">
        <x:v>A small budget adjustment makes a difficult week easier to carry. Moon sextile Venus can turn a flexible fund, extra meal, open room, or changed reservation into enough support to keep a need from falling through. The help matters because it arrives before embarrassment or exhaustion forces someone to ask twice. Offer what is actually available. A modest adjustment can be more useful than a bigger gesture that creates another promise nobody can maintain.</x:v>
      </x:c>
      <x:c r="U118" s="27" t="str"/>
      <x:c r="V118" s="27" t="str">
        <x:v>READY FOR RUNTIME</x:v>
      </x:c>
    </x:row>
    <x:row r="119">
      <x:c r="A119" s="27" t="n">
        <x:v>118</x:v>
      </x:c>
      <x:c r="B119" s="27" t="str">
        <x:v>sky.neptune.conjunction.pluto</x:v>
      </x:c>
      <x:c r="C119" s="27" t="str">
        <x:v>neptune</x:v>
      </x:c>
      <x:c r="D119" s="27" t="str">
        <x:v>conjunction</x:v>
      </x:c>
      <x:c r="E119" s="27" t="str">
        <x:v>pluto</x:v>
      </x:c>
      <x:c r="F119" s="27" t="str">
        <x:v>neptune|pluto</x:v>
      </x:c>
      <x:c r="G119" s="27" t="str">
        <x:v>Ideals and public narratives meet hidden power. Compassion can expose a control structure or become the story that protects it.</x:v>
      </x:c>
      <x:c r="H119" s="27" t="str">
        <x:v>The two functions operate inside the same event. Benefit and complication arrive together, so separating one from the other is difficult.</x:v>
      </x:c>
      <x:c r="I119" s="27" t="str">
        <x:v>The two fuse and intensify as they close in.</x:v>
      </x:c>
      <x:c r="J119" s="27" t="str">
        <x:v>The fused theme peaks and discharges.</x:v>
      </x:c>
      <x:c r="K119" s="27" t="str">
        <x:v>[runtime sign]</x:v>
      </x:c>
      <x:c r="L119" s="27" t="str">
        <x:v>[lookup Body|Sign]</x:v>
      </x:c>
      <x:c r="M119" s="27" t="str">
        <x:v>[runtime sign]</x:v>
      </x:c>
      <x:c r="N119" s="27" t="str">
        <x:v>[lookup Body|Sign]</x:v>
      </x:c>
      <x:c r="O119" s="27" t="str">
        <x:v>[runtime local datetime]</x:v>
      </x:c>
      <x:c r="P119" s="27" t="str">
        <x:v>[runtime orb]</x:v>
      </x:c>
      <x:c r="Q119" s="27" t="str">
        <x:v>[applying / exact / separating]</x:v>
      </x:c>
      <x:c r="R119" s="27" t="str">
        <x:v>[runtime flags]</x:v>
      </x:c>
      <x:c r="S119" s="27" t="str">
        <x:v>Write one integrated collective Sky Calendar forecast for Neptune in [Planet A sign] conjunction Pluto in [Planet B sign] at [calculated date/time]. Preserve this pair meaning: Ideals and public narratives meet hidden power. Compassion can expose a control structure or become the story that protects it. For the conjunction, apply this behavior: The two functions operate inside the same event. Benefit and complication arrive together, so separating one from the other is difficult. Use the Planet A sign to change how Neptune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19" s="27" t="str">
        <x:v>A collective fear or hope becomes inseparable from the hidden power shaping the response. Neptune conjunct Pluto can make a crisis, spiritual movement, media campaign, or public grief feel deeply meaningful while money, secrecy, and institutional interests decide which version reaches the audience. That combination deserves scrutiny precisely because the feeling is sincere. Follow the resources and the decision-making. Ask who benefits from the story, who controls what remains hidden, and what the public is being encouraged not to question.</x:v>
      </x:c>
      <x:c r="U119" s="27" t="str"/>
      <x:c r="V119" s="27" t="str">
        <x:v>READY FOR RUNTIME</x:v>
      </x:c>
    </x:row>
    <x:row r="120">
      <x:c r="A120" s="27" t="n">
        <x:v>119</x:v>
      </x:c>
      <x:c r="B120" s="27" t="str">
        <x:v>sky.neptune.opposition.pluto</x:v>
      </x:c>
      <x:c r="C120" s="27" t="str">
        <x:v>neptune</x:v>
      </x:c>
      <x:c r="D120" s="27" t="str">
        <x:v>opposition</x:v>
      </x:c>
      <x:c r="E120" s="27" t="str">
        <x:v>pluto</x:v>
      </x:c>
      <x:c r="F120" s="27" t="str">
        <x:v>neptune|pluto</x:v>
      </x:c>
      <x:c r="G120" s="27" t="str">
        <x:v>Ideals and public narratives meet hidden power. Compassion can expose a control structure or become the story that protects it.</x:v>
      </x:c>
      <x:c r="H120" s="27" t="str">
        <x:v>Two needs or positions face each other directly through different people, roles, institutions, or requirements. The tradeoff has to become explicit.</x:v>
      </x:c>
      <x:c r="I120" s="27" t="str">
        <x:v>A confrontation builds; the other side comes fully into view.</x:v>
      </x:c>
      <x:c r="J120" s="27" t="str">
        <x:v>The standoff resolves into balance or a split.</x:v>
      </x:c>
      <x:c r="K120" s="27" t="str">
        <x:v>[runtime sign]</x:v>
      </x:c>
      <x:c r="L120" s="27" t="str">
        <x:v>[lookup Body|Sign]</x:v>
      </x:c>
      <x:c r="M120" s="27" t="str">
        <x:v>[runtime sign]</x:v>
      </x:c>
      <x:c r="N120" s="27" t="str">
        <x:v>[lookup Body|Sign]</x:v>
      </x:c>
      <x:c r="O120" s="27" t="str">
        <x:v>[runtime local datetime]</x:v>
      </x:c>
      <x:c r="P120" s="27" t="str">
        <x:v>[runtime orb]</x:v>
      </x:c>
      <x:c r="Q120" s="27" t="str">
        <x:v>[applying / exact / separating]</x:v>
      </x:c>
      <x:c r="R120" s="27" t="str">
        <x:v>[runtime flags]</x:v>
      </x:c>
      <x:c r="S120" s="27" t="str">
        <x:v>Write one integrated collective Sky Calendar forecast for Neptune in [Planet A sign] opposition Pluto in [Planet B sign] at [calculated date/time]. Preserve this pair meaning: Ideals and public narratives meet hidden power. Compassion can expose a control structure or become the story that protects it. For the opposition, apply this behavior: Two needs or positions face each other directly through different people, roles, institutions, or requirements. The tradeoff has to become explicit. Use the Planet A sign to change how Neptune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0" s="27" t="str">
        <x:v>The humanitarian narrative faces the workers and communities documenting what the campaign left out. Neptune opposite Pluto can put genuine compassion directly across from private contracts, controlled access, or cleanup assigned to people with no authority. The cause may still be worthy while the institution speaking for it loses credibility. Separate the need from the organization claiming to represent it. Support the people doing the work, and inspect who is controlling the money and the story around them.</x:v>
      </x:c>
      <x:c r="U120" s="27" t="str"/>
      <x:c r="V120" s="27" t="str">
        <x:v>READY FOR RUNTIME</x:v>
      </x:c>
    </x:row>
    <x:row r="121">
      <x:c r="A121" s="27" t="n">
        <x:v>120</x:v>
      </x:c>
      <x:c r="B121" s="27" t="str">
        <x:v>sky.neptune.square.pluto</x:v>
      </x:c>
      <x:c r="C121" s="27" t="str">
        <x:v>neptune</x:v>
      </x:c>
      <x:c r="D121" s="27" t="str">
        <x:v>square</x:v>
      </x:c>
      <x:c r="E121" s="27" t="str">
        <x:v>pluto</x:v>
      </x:c>
      <x:c r="F121" s="27" t="str">
        <x:v>neptune|pluto</x:v>
      </x:c>
      <x:c r="G121" s="27" t="str">
        <x:v>Ideals and public narratives meet hidden power. Compassion can expose a control structure or become the story that protects it.</x:v>
      </x:c>
      <x:c r="H121" s="27" t="str">
        <x:v>Friction makes the problem difficult to keep absorbing. Pressure repeats or escalates until the plan, rule, behavior, or distribution of responsibility changes.</x:v>
      </x:c>
      <x:c r="I121" s="27" t="str">
        <x:v>Friction builds toward a forced adjustment.</x:v>
      </x:c>
      <x:c r="J121" s="27" t="str">
        <x:v>The crisis passes; what was restructured settles.</x:v>
      </x:c>
      <x:c r="K121" s="27" t="str">
        <x:v>[runtime sign]</x:v>
      </x:c>
      <x:c r="L121" s="27" t="str">
        <x:v>[lookup Body|Sign]</x:v>
      </x:c>
      <x:c r="M121" s="27" t="str">
        <x:v>[runtime sign]</x:v>
      </x:c>
      <x:c r="N121" s="27" t="str">
        <x:v>[lookup Body|Sign]</x:v>
      </x:c>
      <x:c r="O121" s="27" t="str">
        <x:v>[runtime local datetime]</x:v>
      </x:c>
      <x:c r="P121" s="27" t="str">
        <x:v>[runtime orb]</x:v>
      </x:c>
      <x:c r="Q121" s="27" t="str">
        <x:v>[applying / exact / separating]</x:v>
      </x:c>
      <x:c r="R121" s="27" t="str">
        <x:v>[runtime flags]</x:v>
      </x:c>
      <x:c r="S121" s="27" t="str">
        <x:v>Write one integrated collective Sky Calendar forecast for Neptune in [Planet A sign] square Pluto in [Planet B sign] at [calculated date/time]. Preserve this pair meaning: Ideals and public narratives meet hidden power. Compassion can expose a control structure or become the story that protects it. For the square, apply this behavior: Friction makes the problem difficult to keep absorbing. Pressure repeats or escalates until the plan, rule, behavior, or distribution of responsibility changes. Use the Planet A sign to change how Neptune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1" s="27" t="str">
        <x:v>A public story emphasizes care while hiding the operational mess underneath. Neptune square Pluto can make an idealized campaign protect the same power structure shifting money, cleanup, and work onto the people with the least control. The more inspiring the story becomes, the easier it is to treat practical scrutiny as cynicism. Follow the contracts, work, and money far enough to see who is carrying the cost. Compassion is more credible when the people cleaning up afterward are included in the story and the budget.</x:v>
      </x:c>
      <x:c r="U121" s="27" t="str"/>
      <x:c r="V121" s="27" t="str">
        <x:v>READY FOR RUNTIME</x:v>
      </x:c>
    </x:row>
    <x:row r="122">
      <x:c r="A122" s="27" t="n">
        <x:v>121</x:v>
      </x:c>
      <x:c r="B122" s="27" t="str">
        <x:v>sky.neptune.trine.pluto</x:v>
      </x:c>
      <x:c r="C122" s="27" t="str">
        <x:v>neptune</x:v>
      </x:c>
      <x:c r="D122" s="27" t="str">
        <x:v>trine</x:v>
      </x:c>
      <x:c r="E122" s="27" t="str">
        <x:v>pluto</x:v>
      </x:c>
      <x:c r="F122" s="27" t="str">
        <x:v>neptune|pluto</x:v>
      </x:c>
      <x:c r="G122" s="27" t="str">
        <x:v>Ideals and public narratives meet hidden power. Compassion can expose a control structure or become the story that protects it.</x:v>
      </x:c>
      <x:c r="H122" s="27" t="str">
        <x:v>The two functions support each other easily. Momentum is available with less resistance, which helps progress but can let a weak assumption travel farther.</x:v>
      </x:c>
      <x:c r="I122" s="27" t="str">
        <x:v>Ease and support build and arrive on their own.</x:v>
      </x:c>
      <x:c r="J122" s="27" t="str">
        <x:v>The ease withdraws; the flow passes, used or not.</x:v>
      </x:c>
      <x:c r="K122" s="27" t="str">
        <x:v>[runtime sign]</x:v>
      </x:c>
      <x:c r="L122" s="27" t="str">
        <x:v>[lookup Body|Sign]</x:v>
      </x:c>
      <x:c r="M122" s="27" t="str">
        <x:v>[runtime sign]</x:v>
      </x:c>
      <x:c r="N122" s="27" t="str">
        <x:v>[lookup Body|Sign]</x:v>
      </x:c>
      <x:c r="O122" s="27" t="str">
        <x:v>[runtime local datetime]</x:v>
      </x:c>
      <x:c r="P122" s="27" t="str">
        <x:v>[runtime orb]</x:v>
      </x:c>
      <x:c r="Q122" s="27" t="str">
        <x:v>[applying / exact / separating]</x:v>
      </x:c>
      <x:c r="R122" s="27" t="str">
        <x:v>[runtime flags]</x:v>
      </x:c>
      <x:c r="S122" s="27" t="str">
        <x:v>Write one integrated collective Sky Calendar forecast for Neptune in [Planet A sign] trine Pluto in [Planet B sign] at [calculated date/time]. Preserve this pair meaning: Ideals and public narratives meet hidden power. Compassion can expose a control structure or become the story that protects it. For the trine, apply this behavior: The two functions support each other easily. Momentum is available with less resistance, which helps progress but can let a weak assumption travel farther. Use the Planet A sign to change how Neptune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2" s="27" t="str">
        <x:v>A work of art, testimony, or sustained investigation brings hidden suffering into public view without reducing it to a spectacle. Neptune trine Pluto can let emotional truth and difficult evidence reinforce each other, so the story names the systems, money, and private decisions shaping the harm while preserving the humanity of the people living through it. That depth is the point. Let the public response grow around the facts, not around a simplified symbol that makes the pain easier to consume.</x:v>
      </x:c>
      <x:c r="U122" s="27" t="str"/>
      <x:c r="V122" s="27" t="str">
        <x:v>READY FOR RUNTIME</x:v>
      </x:c>
    </x:row>
    <x:row r="123">
      <x:c r="A123" s="27" t="n">
        <x:v>122</x:v>
      </x:c>
      <x:c r="B123" s="27" t="str">
        <x:v>sky.neptune.sextile.pluto</x:v>
      </x:c>
      <x:c r="C123" s="27" t="str">
        <x:v>neptune</x:v>
      </x:c>
      <x:c r="D123" s="27" t="str">
        <x:v>sextile</x:v>
      </x:c>
      <x:c r="E123" s="27" t="str">
        <x:v>pluto</x:v>
      </x:c>
      <x:c r="F123" s="27" t="str">
        <x:v>neptune|pluto</x:v>
      </x:c>
      <x:c r="G123" s="27" t="str">
        <x:v>Ideals and public narratives meet hidden power. Compassion can expose a control structure or become the story that protects it.</x:v>
      </x:c>
      <x:c r="H123" s="27" t="str">
        <x:v>A workable opening appears between the two functions. The opportunity is useful but not automatic; someone still has to notice it and make the specific move.</x:v>
      </x:c>
      <x:c r="I123" s="27" t="str">
        <x:v>A supportive opening becomes available; offered, not automatic.</x:v>
      </x:c>
      <x:c r="J123" s="27" t="str">
        <x:v>The opening closes; unused, it passes.</x:v>
      </x:c>
      <x:c r="K123" s="27" t="str">
        <x:v>[runtime sign]</x:v>
      </x:c>
      <x:c r="L123" s="27" t="str">
        <x:v>[lookup Body|Sign]</x:v>
      </x:c>
      <x:c r="M123" s="27" t="str">
        <x:v>[runtime sign]</x:v>
      </x:c>
      <x:c r="N123" s="27" t="str">
        <x:v>[lookup Body|Sign]</x:v>
      </x:c>
      <x:c r="O123" s="27" t="str">
        <x:v>[runtime local datetime]</x:v>
      </x:c>
      <x:c r="P123" s="27" t="str">
        <x:v>[runtime orb]</x:v>
      </x:c>
      <x:c r="Q123" s="27" t="str">
        <x:v>[applying / exact / separating]</x:v>
      </x:c>
      <x:c r="R123" s="27" t="str">
        <x:v>[runtime flags]</x:v>
      </x:c>
      <x:c r="S123" s="27" t="str">
        <x:v>Write one integrated collective Sky Calendar forecast for Neptune in [Planet A sign] sextile Pluto in [Planet B sign] at [calculated date/time]. Preserve this pair meaning: Ideals and public narratives meet hidden power. Compassion can expose a control structure or become the story that protects it. For the sextile, apply this behavior: A workable opening appears between the two functions. The opportunity is useful but not automatic; someone still has to notice it and make the specific move. Use the Planet A sign to change how Neptune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3" s="27" t="str">
        <x:v>A compelling public story creates an opening to investigate the power hidden underneath the crisis. Neptune sextile Pluto can turn empathy into deeper scrutiny if someone follows the donations, contracts, images, or private decisions before attention moves on. The story becomes harder to exploit once care is linked to a record of who benefited and who carried the loss. Use the attention to ask the question the campaign would rather leave emotional. Where did the money go, and who had the authority to decide?</x:v>
      </x:c>
      <x:c r="U123" s="27" t="str"/>
      <x:c r="V123" s="27" t="str">
        <x:v>READY FOR RUNTIME</x:v>
      </x:c>
    </x:row>
    <x:row r="124">
      <x:c r="A124" s="27" t="n">
        <x:v>123</x:v>
      </x:c>
      <x:c r="B124" s="27" t="str">
        <x:v>sky.saturn.square.lilith</x:v>
      </x:c>
      <x:c r="C124" s="27" t="str">
        <x:v>saturn</x:v>
      </x:c>
      <x:c r="D124" s="27" t="str">
        <x:v>square</x:v>
      </x:c>
      <x:c r="E124" s="27" t="str">
        <x:v>lilith</x:v>
      </x:c>
      <x:c r="F124" s="27" t="str">
        <x:v>saturn|lilith</x:v>
      </x:c>
      <x:c r="G124" s="27" t="str">
        <x:v>Rules, hierarchy, and consequence meet refusal to comply. Pressure to conform reveals the boundary someone or a group will not trade away.</x:v>
      </x:c>
      <x:c r="H124" s="27" t="str">
        <x:v>Friction makes the problem difficult to keep absorbing. Pressure repeats or escalates until the plan, rule, behavior, or distribution of responsibility changes.</x:v>
      </x:c>
      <x:c r="I124" s="27" t="str">
        <x:v>Shortcuts stop working.</x:v>
      </x:c>
      <x:c r="J124" s="27" t="str">
        <x:v>What still works after the pressure is probably worth keeping.</x:v>
      </x:c>
      <x:c r="K124" s="27" t="str">
        <x:v>[runtime sign]</x:v>
      </x:c>
      <x:c r="L124" s="27" t="str">
        <x:v>[lookup Body|Sign]</x:v>
      </x:c>
      <x:c r="M124" s="27" t="str">
        <x:v>[runtime sign]</x:v>
      </x:c>
      <x:c r="N124" s="27" t="str">
        <x:v>[lookup Body|Sign]</x:v>
      </x:c>
      <x:c r="O124" s="27" t="str">
        <x:v>[runtime local datetime]</x:v>
      </x:c>
      <x:c r="P124" s="27" t="str">
        <x:v>[runtime orb]</x:v>
      </x:c>
      <x:c r="Q124" s="27" t="str">
        <x:v>[applying / exact / separating]</x:v>
      </x:c>
      <x:c r="R124" s="27" t="str">
        <x:v>[runtime flags]</x:v>
      </x:c>
      <x:c r="S124" s="27" t="str">
        <x:v>Write one integrated collective Sky Calendar forecast for Saturn in [Planet A sign] square Lilith in [Planet B sign] at [calculated date/time]. Preserve this pair meaning: Rules, hierarchy, and consequence meet refusal to comply. Pressure to conform reveals the boundary someone or a group will not trade away. For the square, apply this behavior: Friction makes the problem difficult to keep absorbing. Pressure repeats or escalates until the plan, rule, behavior, or distribution of responsibility changes. Use the Planet A sign to change how Saturn acts and what situations are plausible. Use the Planet B sign to change what Lilith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4" s="27" t="str">
        <x:v>Patience runs thin for rules, expectations, or responsibilities that have demanded too much for too long. Saturn square Lilith can make the weak point in an agreement or system impossible to keep covering with endurance. Shortcuts stop working, and the person who has been absorbing the extra burden may finally refuse to do it again. Do not confuse that refusal with irresponsibility. Name the demand that has become unsustainable and renegotiate who carries it before the whole arrangement breaks under the same pressure.</x:v>
      </x:c>
      <x:c r="U124" s="27" t="str"/>
      <x:c r="V124" s="27" t="str">
        <x:v>READY FOR RUNTIME</x:v>
      </x:c>
    </x:row>
    <x:row r="125">
      <x:c r="A125" s="27" t="n">
        <x:v>124</x:v>
      </x:c>
      <x:c r="B125" s="27" t="str">
        <x:v>sky.saturn.conjunction.neptune</x:v>
      </x:c>
      <x:c r="C125" s="27" t="str">
        <x:v>saturn</x:v>
      </x:c>
      <x:c r="D125" s="27" t="str">
        <x:v>conjunction</x:v>
      </x:c>
      <x:c r="E125" s="27" t="str">
        <x:v>neptune</x:v>
      </x:c>
      <x:c r="F125" s="27" t="str">
        <x:v>saturn|neptune</x:v>
      </x:c>
      <x:c r="G125" s="27" t="str">
        <x:v>Limits and accountability meet ambiguity and ideal. A vague vision either gains usable structure or reveals where responsibility has dissolved.</x:v>
      </x:c>
      <x:c r="H125" s="27" t="str">
        <x:v>The two functions operate inside the same event. Benefit and complication arrive together, so separating one from the other is difficult.</x:v>
      </x:c>
      <x:c r="I125" s="27" t="str">
        <x:v>The two fuse and intensify as they close in.</x:v>
      </x:c>
      <x:c r="J125" s="27" t="str">
        <x:v>The fused theme peaks and discharges.</x:v>
      </x:c>
      <x:c r="K125" s="27" t="str">
        <x:v>[runtime sign]</x:v>
      </x:c>
      <x:c r="L125" s="27" t="str">
        <x:v>[lookup Body|Sign]</x:v>
      </x:c>
      <x:c r="M125" s="27" t="str">
        <x:v>[runtime sign]</x:v>
      </x:c>
      <x:c r="N125" s="27" t="str">
        <x:v>[lookup Body|Sign]</x:v>
      </x:c>
      <x:c r="O125" s="27" t="str">
        <x:v>[runtime local datetime]</x:v>
      </x:c>
      <x:c r="P125" s="27" t="str">
        <x:v>[runtime orb]</x:v>
      </x:c>
      <x:c r="Q125" s="27" t="str">
        <x:v>[applying / exact / separating]</x:v>
      </x:c>
      <x:c r="R125" s="27" t="str">
        <x:v>[runtime flags]</x:v>
      </x:c>
      <x:c r="S125" s="27" t="str">
        <x:v>Write one integrated collective Sky Calendar forecast for Saturn in [Planet A sign] conjunction Neptune in [Planet B sign] at [calculated date/time]. Preserve this pair meaning: Limits and accountability meet ambiguity and ideal. A vague vision either gains usable structure or reveals where responsibility has dissolved. For the conjunction, apply this behavior: The two functions operate inside the same event. Benefit and complication arrive together, so separating one from the other is difficult. Use the Planet A sign to change how Saturn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5" s="27" t="str">
        <x:v>A dream is placed inside a structure that will determine if it can survive ordinary life. Saturn conjunct Neptune can make a care program, creative institution, spiritual community, or recovery plan receive rules, funding limits, leadership, and formal responsibility all at once. Structure can protect the purpose and distort it when one office starts deciding who deserves access to the care. Keep the mission close to the paperwork. Review the eligibility, budget, and decision-making before administration quietly becomes the thing the project serves.</x:v>
      </x:c>
      <x:c r="U125" s="27" t="str"/>
      <x:c r="V125" s="27" t="str">
        <x:v>READY FOR RUNTIME</x:v>
      </x:c>
    </x:row>
    <x:row r="126">
      <x:c r="A126" s="27" t="n">
        <x:v>125</x:v>
      </x:c>
      <x:c r="B126" s="27" t="str">
        <x:v>sky.saturn.opposition.neptune</x:v>
      </x:c>
      <x:c r="C126" s="27" t="str">
        <x:v>saturn</x:v>
      </x:c>
      <x:c r="D126" s="27" t="str">
        <x:v>opposition</x:v>
      </x:c>
      <x:c r="E126" s="27" t="str">
        <x:v>neptune</x:v>
      </x:c>
      <x:c r="F126" s="27" t="str">
        <x:v>saturn|neptune</x:v>
      </x:c>
      <x:c r="G126" s="27" t="str">
        <x:v>Limits and accountability meet ambiguity and ideal. A vague vision either gains usable structure or reveals where responsibility has dissolved.</x:v>
      </x:c>
      <x:c r="H126" s="27" t="str">
        <x:v>Two needs or positions face each other directly through different people, roles, institutions, or requirements. The tradeoff has to become explicit.</x:v>
      </x:c>
      <x:c r="I126" s="27" t="str">
        <x:v>A confrontation builds; the other side comes fully into view.</x:v>
      </x:c>
      <x:c r="J126" s="27" t="str">
        <x:v>The standoff resolves into balance or a split.</x:v>
      </x:c>
      <x:c r="K126" s="27" t="str">
        <x:v>[runtime sign]</x:v>
      </x:c>
      <x:c r="L126" s="27" t="str">
        <x:v>[lookup Body|Sign]</x:v>
      </x:c>
      <x:c r="M126" s="27" t="str">
        <x:v>[runtime sign]</x:v>
      </x:c>
      <x:c r="N126" s="27" t="str">
        <x:v>[lookup Body|Sign]</x:v>
      </x:c>
      <x:c r="O126" s="27" t="str">
        <x:v>[runtime local datetime]</x:v>
      </x:c>
      <x:c r="P126" s="27" t="str">
        <x:v>[runtime orb]</x:v>
      </x:c>
      <x:c r="Q126" s="27" t="str">
        <x:v>[applying / exact / separating]</x:v>
      </x:c>
      <x:c r="R126" s="27" t="str">
        <x:v>[runtime flags]</x:v>
      </x:c>
      <x:c r="S126" s="27" t="str">
        <x:v>Write one integrated collective Sky Calendar forecast for Saturn in [Planet A sign] opposition Neptune in [Planet B sign] at [calculated date/time]. Preserve this pair meaning: Limits and accountability meet ambiguity and ideal. A vague vision either gains usable structure or reveals where responsibility has dissolved. For the opposition, apply this behavior: Two needs or positions face each other directly through different people, roles, institutions, or requirements. The tradeoff has to become explicit. Use the Planet A sign to change how Saturn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6" s="27" t="str">
        <x:v>The institution responsible for enforcing the limit faces the people who believed its promise of care. Saturn opposite Neptune can put law, budget, eligibility, and documentation directly across from prior assurances and the human cost of withdrawing support. A program can survive the review and still lose credibility if compassion only existed while nobody was asking what it cost. Compare the promise with the actual terms people are being held to now. If they changed, say so plainly instead of hiding the reversal inside policy language.</x:v>
      </x:c>
      <x:c r="U126" s="27" t="str"/>
      <x:c r="V126" s="27" t="str">
        <x:v>READY FOR RUNTIME</x:v>
      </x:c>
    </x:row>
    <x:row r="127">
      <x:c r="A127" s="27" t="n">
        <x:v>126</x:v>
      </x:c>
      <x:c r="B127" s="27" t="str">
        <x:v>sky.saturn.square.neptune</x:v>
      </x:c>
      <x:c r="C127" s="27" t="str">
        <x:v>saturn</x:v>
      </x:c>
      <x:c r="D127" s="27" t="str">
        <x:v>square</x:v>
      </x:c>
      <x:c r="E127" s="27" t="str">
        <x:v>neptune</x:v>
      </x:c>
      <x:c r="F127" s="27" t="str">
        <x:v>saturn|neptune</x:v>
      </x:c>
      <x:c r="G127" s="27" t="str">
        <x:v>Limits and accountability meet ambiguity and ideal. A vague vision either gains usable structure or reveals where responsibility has dissolved.</x:v>
      </x:c>
      <x:c r="H127" s="27" t="str">
        <x:v>Friction makes the problem difficult to keep absorbing. Pressure repeats or escalates until the plan, rule, behavior, or distribution of responsibility changes.</x:v>
      </x:c>
      <x:c r="I127" s="27" t="str">
        <x:v>Friction builds toward a forced adjustment.</x:v>
      </x:c>
      <x:c r="J127" s="27" t="str">
        <x:v>The crisis passes; what was restructured settles.</x:v>
      </x:c>
      <x:c r="K127" s="27" t="str">
        <x:v>[runtime sign]</x:v>
      </x:c>
      <x:c r="L127" s="27" t="str">
        <x:v>[lookup Body|Sign]</x:v>
      </x:c>
      <x:c r="M127" s="27" t="str">
        <x:v>[runtime sign]</x:v>
      </x:c>
      <x:c r="N127" s="27" t="str">
        <x:v>[lookup Body|Sign]</x:v>
      </x:c>
      <x:c r="O127" s="27" t="str">
        <x:v>[runtime local datetime]</x:v>
      </x:c>
      <x:c r="P127" s="27" t="str">
        <x:v>[runtime orb]</x:v>
      </x:c>
      <x:c r="Q127" s="27" t="str">
        <x:v>[applying / exact / separating]</x:v>
      </x:c>
      <x:c r="R127" s="27" t="str">
        <x:v>[runtime flags]</x:v>
      </x:c>
      <x:c r="S127" s="27" t="str">
        <x:v>Write one integrated collective Sky Calendar forecast for Saturn in [Planet A sign] square Neptune in [Planet B sign] at [calculated date/time]. Preserve this pair meaning: Limits and accountability meet ambiguity and ideal. A vague vision either gains usable structure or reveals where responsibility has dissolved. For the square, apply this behavior: Friction makes the problem difficult to keep absorbing. Pressure repeats or escalates until the plan, rule, behavior, or distribution of responsibility changes. Use the Planet A sign to change how Saturn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7" s="27" t="str">
        <x:v>A sweeping promise hits a hard wall of practical limits. Saturn square Neptune can make a community project, care plan, or creative institution keep running on belief until the budget, legal backing, or staffing finally refuses to cooperate. Inspiration cannot cover a missing structure forever. The shutdown may be quick, but the cleanup is not. Name what failed before replacing the dream with another promise. Fix the funding, authority, or staffing gap that made delivery impossible in the first place.</x:v>
      </x:c>
      <x:c r="U127" s="27" t="str"/>
      <x:c r="V127" s="27" t="str">
        <x:v>READY FOR RUNTIME</x:v>
      </x:c>
    </x:row>
    <x:row r="128">
      <x:c r="A128" s="27" t="n">
        <x:v>127</x:v>
      </x:c>
      <x:c r="B128" s="27" t="str">
        <x:v>sky.saturn.trine.neptune</x:v>
      </x:c>
      <x:c r="C128" s="27" t="str">
        <x:v>saturn</x:v>
      </x:c>
      <x:c r="D128" s="27" t="str">
        <x:v>trine</x:v>
      </x:c>
      <x:c r="E128" s="27" t="str">
        <x:v>neptune</x:v>
      </x:c>
      <x:c r="F128" s="27" t="str">
        <x:v>saturn|neptune</x:v>
      </x:c>
      <x:c r="G128" s="27" t="str">
        <x:v>Limits and accountability meet ambiguity and ideal. A vague vision either gains usable structure or reveals where responsibility has dissolved.</x:v>
      </x:c>
      <x:c r="H128" s="27" t="str">
        <x:v>The two functions support each other easily. Momentum is available with less resistance, which helps progress but can let a weak assumption travel farther.</x:v>
      </x:c>
      <x:c r="I128" s="27" t="str">
        <x:v>Ease and support build and arrive on their own.</x:v>
      </x:c>
      <x:c r="J128" s="27" t="str">
        <x:v>The ease withdraws; the flow passes, used or not.</x:v>
      </x:c>
      <x:c r="K128" s="27" t="str">
        <x:v>[runtime sign]</x:v>
      </x:c>
      <x:c r="L128" s="27" t="str">
        <x:v>[lookup Body|Sign]</x:v>
      </x:c>
      <x:c r="M128" s="27" t="str">
        <x:v>[runtime sign]</x:v>
      </x:c>
      <x:c r="N128" s="27" t="str">
        <x:v>[lookup Body|Sign]</x:v>
      </x:c>
      <x:c r="O128" s="27" t="str">
        <x:v>[runtime local datetime]</x:v>
      </x:c>
      <x:c r="P128" s="27" t="str">
        <x:v>[runtime orb]</x:v>
      </x:c>
      <x:c r="Q128" s="27" t="str">
        <x:v>[applying / exact / separating]</x:v>
      </x:c>
      <x:c r="R128" s="27" t="str">
        <x:v>[runtime flags]</x:v>
      </x:c>
      <x:c r="S128" s="27" t="str">
        <x:v>Write one integrated collective Sky Calendar forecast for Saturn in [Planet A sign] trine Neptune in [Planet B sign] at [calculated date/time]. Preserve this pair meaning: Limits and accountability meet ambiguity and ideal. A vague vision either gains usable structure or reveals where responsibility has dissolved. For the trine, apply this behavior: The two functions support each other easily. Momentum is available with less resistance, which helps progress but can let a weak assumption travel farther. Use the Planet A sign to change how Saturn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8" s="27" t="str">
        <x:v>An institution creates a durable response to a need it once handled through temporary goodwill. Saturn trine Neptune can turn volunteers and emergency exceptions into long-term funding, trained staff, private space, and clear access without losing sight of the human reason the program exists. Care becomes dependable because someone accepted that compassion needs a budget after the emotional moment passes. Protect that continuity. Build the plan so the service still works on an ordinary Tuesday when nobody is watching.</x:v>
      </x:c>
      <x:c r="U128" s="27" t="str"/>
      <x:c r="V128" s="27" t="str">
        <x:v>READY FOR RUNTIME</x:v>
      </x:c>
    </x:row>
    <x:row r="129">
      <x:c r="A129" s="27" t="n">
        <x:v>128</x:v>
      </x:c>
      <x:c r="B129" s="27" t="str">
        <x:v>sky.saturn.sextile.neptune</x:v>
      </x:c>
      <x:c r="C129" s="27" t="str">
        <x:v>saturn</x:v>
      </x:c>
      <x:c r="D129" s="27" t="str">
        <x:v>sextile</x:v>
      </x:c>
      <x:c r="E129" s="27" t="str">
        <x:v>neptune</x:v>
      </x:c>
      <x:c r="F129" s="27" t="str">
        <x:v>saturn|neptune</x:v>
      </x:c>
      <x:c r="G129" s="27" t="str">
        <x:v>Limits and accountability meet ambiguity and ideal. A vague vision either gains usable structure or reveals where responsibility has dissolved.</x:v>
      </x:c>
      <x:c r="H129" s="27" t="str">
        <x:v>A workable opening appears between the two functions. The opportunity is useful but not automatic; someone still has to notice it and make the specific move.</x:v>
      </x:c>
      <x:c r="I129" s="27" t="str">
        <x:v>A supportive opening becomes available; offered, not automatic.</x:v>
      </x:c>
      <x:c r="J129" s="27" t="str">
        <x:v>The opening closes; unused, it passes.</x:v>
      </x:c>
      <x:c r="K129" s="27" t="str">
        <x:v>[runtime sign]</x:v>
      </x:c>
      <x:c r="L129" s="27" t="str">
        <x:v>[lookup Body|Sign]</x:v>
      </x:c>
      <x:c r="M129" s="27" t="str">
        <x:v>[runtime sign]</x:v>
      </x:c>
      <x:c r="N129" s="27" t="str">
        <x:v>[lookup Body|Sign]</x:v>
      </x:c>
      <x:c r="O129" s="27" t="str">
        <x:v>[runtime local datetime]</x:v>
      </x:c>
      <x:c r="P129" s="27" t="str">
        <x:v>[runtime orb]</x:v>
      </x:c>
      <x:c r="Q129" s="27" t="str">
        <x:v>[applying / exact / separating]</x:v>
      </x:c>
      <x:c r="R129" s="27" t="str">
        <x:v>[runtime flags]</x:v>
      </x:c>
      <x:c r="S129" s="27" t="str">
        <x:v>Write one integrated collective Sky Calendar forecast for Saturn in [Planet A sign] sextile Neptune in [Planet B sign] at [calculated date/time]. Preserve this pair meaning: Limits and accountability meet ambiguity and ideal. A vague vision either gains usable structure or reveals where responsibility has dissolved. For the sextile, apply this behavior: A workable opening appears between the two functions. The opportunity is useful but not automatic; someone still has to notice it and make the specific move. Use the Planet A sign to change how Saturn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29" s="27" t="str">
        <x:v>A broad promise receives enough structure to support one practical piece of help. Saturn sextile Neptune can turn compassion into a shelter bed, recovery program, arts fund, or protected leave policy once the budget, eligibility, staffing, and deadline are defined. The whole ideal does not need to fit inside one program. It needs a named owner and funding or staff attached to it. Build the part that can be delivered now, then let the larger vision grow from something people can already access.</x:v>
      </x:c>
      <x:c r="U129" s="27" t="str"/>
      <x:c r="V129" s="27" t="str">
        <x:v>READY FOR RUNTIME</x:v>
      </x:c>
    </x:row>
    <x:row r="130">
      <x:c r="A130" s="27" t="n">
        <x:v>129</x:v>
      </x:c>
      <x:c r="B130" s="27" t="str">
        <x:v>sky.saturn.conjunction.pluto</x:v>
      </x:c>
      <x:c r="C130" s="27" t="str">
        <x:v>saturn</x:v>
      </x:c>
      <x:c r="D130" s="27" t="str">
        <x:v>conjunction</x:v>
      </x:c>
      <x:c r="E130" s="27" t="str">
        <x:v>pluto</x:v>
      </x:c>
      <x:c r="F130" s="27" t="str">
        <x:v>saturn|pluto</x:v>
      </x:c>
      <x:c r="G130" s="27" t="str">
        <x:v>Formal authority meets concentrated leverage. Rules are tested against the people or institutions powerful enough to resist, bypass, or redefine them.</x:v>
      </x:c>
      <x:c r="H130" s="27" t="str">
        <x:v>The two functions operate inside the same event. Benefit and complication arrive together, so separating one from the other is difficult.</x:v>
      </x:c>
      <x:c r="I130" s="27" t="str">
        <x:v>The two fuse and intensify as they close in.</x:v>
      </x:c>
      <x:c r="J130" s="27" t="str">
        <x:v>The fused theme peaks and discharges.</x:v>
      </x:c>
      <x:c r="K130" s="27" t="str">
        <x:v>[runtime sign]</x:v>
      </x:c>
      <x:c r="L130" s="27" t="str">
        <x:v>[lookup Body|Sign]</x:v>
      </x:c>
      <x:c r="M130" s="27" t="str">
        <x:v>[runtime sign]</x:v>
      </x:c>
      <x:c r="N130" s="27" t="str">
        <x:v>[lookup Body|Sign]</x:v>
      </x:c>
      <x:c r="O130" s="27" t="str">
        <x:v>[runtime local datetime]</x:v>
      </x:c>
      <x:c r="P130" s="27" t="str">
        <x:v>[runtime orb]</x:v>
      </x:c>
      <x:c r="Q130" s="27" t="str">
        <x:v>[applying / exact / separating]</x:v>
      </x:c>
      <x:c r="R130" s="27" t="str">
        <x:v>[runtime flags]</x:v>
      </x:c>
      <x:c r="S130" s="27" t="str">
        <x:v>Write one integrated collective Sky Calendar forecast for Saturn in [Planet A sign] conjunction Pluto in [Planet B sign] at [calculated date/time]. Preserve this pair meaning: Formal authority meets concentrated leverage. Rules are tested against the people or institutions powerful enough to resist, bypass, or redefine them. For the conjunction, apply this behavior: The two functions operate inside the same event. Benefit and complication arrive together, so separating one from the other is difficult. Use the Planet A sign to change how Saturn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0" s="27" t="str">
        <x:v>A hard restructuring concentrates authority around survival, control, and consequences. Saturn conjunct Pluto can make budget cuts, department closures, tighter contracts, or emergency powers feel unavoidable while the same response also reduces freedom and review. Necessity is powerful language because it can end an argument before the terms are examined. Ask what control is being made permanent in the name of the crisis. If an emergency measure changes who can decide, put a date and review process on that power before it becomes ordinary.</x:v>
      </x:c>
      <x:c r="U130" s="27" t="str"/>
      <x:c r="V130" s="27" t="str">
        <x:v>READY FOR RUNTIME</x:v>
      </x:c>
    </x:row>
    <x:row r="131">
      <x:c r="A131" s="27" t="n">
        <x:v>130</x:v>
      </x:c>
      <x:c r="B131" s="27" t="str">
        <x:v>sky.saturn.opposition.pluto</x:v>
      </x:c>
      <x:c r="C131" s="27" t="str">
        <x:v>saturn</x:v>
      </x:c>
      <x:c r="D131" s="27" t="str">
        <x:v>opposition</x:v>
      </x:c>
      <x:c r="E131" s="27" t="str">
        <x:v>pluto</x:v>
      </x:c>
      <x:c r="F131" s="27" t="str">
        <x:v>saturn|pluto</x:v>
      </x:c>
      <x:c r="G131" s="27" t="str">
        <x:v>Formal authority meets concentrated leverage. Rules are tested against the people or institutions powerful enough to resist, bypass, or redefine them.</x:v>
      </x:c>
      <x:c r="H131" s="27" t="str">
        <x:v>Two needs or positions face each other directly through different people, roles, institutions, or requirements. The tradeoff has to become explicit.</x:v>
      </x:c>
      <x:c r="I131" s="27" t="str">
        <x:v>A confrontation builds; the other side comes fully into view.</x:v>
      </x:c>
      <x:c r="J131" s="27" t="str">
        <x:v>The standoff resolves into balance or a split.</x:v>
      </x:c>
      <x:c r="K131" s="27" t="str">
        <x:v>[runtime sign]</x:v>
      </x:c>
      <x:c r="L131" s="27" t="str">
        <x:v>[lookup Body|Sign]</x:v>
      </x:c>
      <x:c r="M131" s="27" t="str">
        <x:v>[runtime sign]</x:v>
      </x:c>
      <x:c r="N131" s="27" t="str">
        <x:v>[lookup Body|Sign]</x:v>
      </x:c>
      <x:c r="O131" s="27" t="str">
        <x:v>[runtime local datetime]</x:v>
      </x:c>
      <x:c r="P131" s="27" t="str">
        <x:v>[runtime orb]</x:v>
      </x:c>
      <x:c r="Q131" s="27" t="str">
        <x:v>[applying / exact / separating]</x:v>
      </x:c>
      <x:c r="R131" s="27" t="str">
        <x:v>[runtime flags]</x:v>
      </x:c>
      <x:c r="S131" s="27" t="str">
        <x:v>Write one integrated collective Sky Calendar forecast for Saturn in [Planet A sign] opposition Pluto in [Planet B sign] at [calculated date/time]. Preserve this pair meaning: Formal authority meets concentrated leverage. Rules are tested against the people or institutions powerful enough to resist, bypass, or redefine them. For the opposition, apply this behavior: Two needs or positions face each other directly through different people, roles, institutions, or requirements. The tradeoff has to become explicit. Use the Planet A sign to change how Saturn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1" s="27" t="str">
        <x:v>The official responsible for enforcing the rules faces the person or institution powerful enough to operate around them. Saturn opposite Pluto can expose the difference between formal authority and actual leverage, especially when money, access, or private consequences make enforcement risky. A rule that only applies to people without power is not much of a rule. Put the exemption on the record. The confrontation matters if it produces a limit that applies to the office or institution, not only to the person easiest to punish.</x:v>
      </x:c>
      <x:c r="U131" s="27" t="str"/>
      <x:c r="V131" s="27" t="str">
        <x:v>READY FOR RUNTIME</x:v>
      </x:c>
    </x:row>
    <x:row r="132">
      <x:c r="A132" s="27" t="n">
        <x:v>131</x:v>
      </x:c>
      <x:c r="B132" s="27" t="str">
        <x:v>sky.saturn.square.pluto</x:v>
      </x:c>
      <x:c r="C132" s="27" t="str">
        <x:v>saturn</x:v>
      </x:c>
      <x:c r="D132" s="27" t="str">
        <x:v>square</x:v>
      </x:c>
      <x:c r="E132" s="27" t="str">
        <x:v>pluto</x:v>
      </x:c>
      <x:c r="F132" s="27" t="str">
        <x:v>saturn|pluto</x:v>
      </x:c>
      <x:c r="G132" s="27" t="str">
        <x:v>Formal authority meets concentrated leverage. Rules are tested against the people or institutions powerful enough to resist, bypass, or redefine them.</x:v>
      </x:c>
      <x:c r="H132" s="27" t="str">
        <x:v>Friction makes the problem difficult to keep absorbing. Pressure repeats or escalates until the plan, rule, behavior, or distribution of responsibility changes.</x:v>
      </x:c>
      <x:c r="I132" s="27" t="str">
        <x:v>Friction builds toward a forced adjustment.</x:v>
      </x:c>
      <x:c r="J132" s="27" t="str">
        <x:v>The crisis passes; what was restructured settles.</x:v>
      </x:c>
      <x:c r="K132" s="27" t="str">
        <x:v>[runtime sign]</x:v>
      </x:c>
      <x:c r="L132" s="27" t="str">
        <x:v>[lookup Body|Sign]</x:v>
      </x:c>
      <x:c r="M132" s="27" t="str">
        <x:v>[runtime sign]</x:v>
      </x:c>
      <x:c r="N132" s="27" t="str">
        <x:v>[lookup Body|Sign]</x:v>
      </x:c>
      <x:c r="O132" s="27" t="str">
        <x:v>[runtime local datetime]</x:v>
      </x:c>
      <x:c r="P132" s="27" t="str">
        <x:v>[runtime orb]</x:v>
      </x:c>
      <x:c r="Q132" s="27" t="str">
        <x:v>[applying / exact / separating]</x:v>
      </x:c>
      <x:c r="R132" s="27" t="str">
        <x:v>[runtime flags]</x:v>
      </x:c>
      <x:c r="S132" s="27" t="str">
        <x:v>Write one integrated collective Sky Calendar forecast for Saturn in [Planet A sign] square Pluto in [Planet B sign] at [calculated date/time]. Preserve this pair meaning: Formal authority meets concentrated leverage. Rules are tested against the people or institutions powerful enough to resist, bypass, or redefine them. For the square, apply this behavior: Friction makes the problem difficult to keep absorbing. Pressure repeats or escalates until the plan, rule, behavior, or distribution of responsibility changes. Use the Planet A sign to change how Saturn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2" s="27" t="str">
        <x:v>Two centers of authority refuse to give up the rule, money, or access that makes them powerful. Saturn square Pluto can turn deadlines, records, and ordinary work into leverage while each side tries to force the other into accepting its terms. The people underneath the conflict pay for every withheld decision. Stop treating delay as neutral. Identify which decision is being held hostage, who has the authority to release it, and what consequence exists if neither side moves.</x:v>
      </x:c>
      <x:c r="U132" s="27" t="str"/>
      <x:c r="V132" s="27" t="str">
        <x:v>READY FOR RUNTIME</x:v>
      </x:c>
    </x:row>
    <x:row r="133">
      <x:c r="A133" s="27" t="n">
        <x:v>132</x:v>
      </x:c>
      <x:c r="B133" s="27" t="str">
        <x:v>sky.saturn.trine.pluto</x:v>
      </x:c>
      <x:c r="C133" s="27" t="str">
        <x:v>saturn</x:v>
      </x:c>
      <x:c r="D133" s="27" t="str">
        <x:v>trine</x:v>
      </x:c>
      <x:c r="E133" s="27" t="str">
        <x:v>pluto</x:v>
      </x:c>
      <x:c r="F133" s="27" t="str">
        <x:v>saturn|pluto</x:v>
      </x:c>
      <x:c r="G133" s="27" t="str">
        <x:v>Formal authority meets concentrated leverage. Rules are tested against the people or institutions powerful enough to resist, bypass, or redefine them.</x:v>
      </x:c>
      <x:c r="H133" s="27" t="str">
        <x:v>The two functions support each other easily. Momentum is available with less resistance, which helps progress but can let a weak assumption travel farther.</x:v>
      </x:c>
      <x:c r="I133" s="27" t="str">
        <x:v>Ease and support build and arrive on their own.</x:v>
      </x:c>
      <x:c r="J133" s="27" t="str">
        <x:v>The ease withdraws; the flow passes, used or not.</x:v>
      </x:c>
      <x:c r="K133" s="27" t="str">
        <x:v>[runtime sign]</x:v>
      </x:c>
      <x:c r="L133" s="27" t="str">
        <x:v>[lookup Body|Sign]</x:v>
      </x:c>
      <x:c r="M133" s="27" t="str">
        <x:v>[runtime sign]</x:v>
      </x:c>
      <x:c r="N133" s="27" t="str">
        <x:v>[lookup Body|Sign]</x:v>
      </x:c>
      <x:c r="O133" s="27" t="str">
        <x:v>[runtime local datetime]</x:v>
      </x:c>
      <x:c r="P133" s="27" t="str">
        <x:v>[runtime orb]</x:v>
      </x:c>
      <x:c r="Q133" s="27" t="str">
        <x:v>[applying / exact / separating]</x:v>
      </x:c>
      <x:c r="R133" s="27" t="str">
        <x:v>[runtime flags]</x:v>
      </x:c>
      <x:c r="S133" s="27" t="str">
        <x:v>Write one integrated collective Sky Calendar forecast for Saturn in [Planet A sign] trine Pluto in [Planet B sign] at [calculated date/time]. Preserve this pair meaning: Formal authority meets concentrated leverage. Rules are tested against the people or institutions powerful enough to resist, bypass, or redefine them. For the trine, apply this behavior: The two functions support each other easily. Momentum is available with less resistance, which helps progress but can let a weak assumption travel farther. Use the Planet A sign to change how Saturn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3" s="27" t="str">
        <x:v>An institution rebuilds its authority after opening the records and changing who can exercise power without review. Saturn trine Pluto can make reform reach contracts, reporting lines, budgets, and consequences instead of ending with a symbolic resignation. The change lasts because the structure stops depending on one good leader to behave well. Put the new limits where the old abuse was possible. Trust returns more slowly than policy, but it has a chance when the rule changes for the office itself.</x:v>
      </x:c>
      <x:c r="U133" s="27" t="str"/>
      <x:c r="V133" s="27" t="str">
        <x:v>READY FOR RUNTIME</x:v>
      </x:c>
    </x:row>
    <x:row r="134">
      <x:c r="A134" s="27" t="n">
        <x:v>133</x:v>
      </x:c>
      <x:c r="B134" s="27" t="str">
        <x:v>sky.saturn.sextile.pluto</x:v>
      </x:c>
      <x:c r="C134" s="27" t="str">
        <x:v>saturn</x:v>
      </x:c>
      <x:c r="D134" s="27" t="str">
        <x:v>sextile</x:v>
      </x:c>
      <x:c r="E134" s="27" t="str">
        <x:v>pluto</x:v>
      </x:c>
      <x:c r="F134" s="27" t="str">
        <x:v>saturn|pluto</x:v>
      </x:c>
      <x:c r="G134" s="27" t="str">
        <x:v>Formal authority meets concentrated leverage. Rules are tested against the people or institutions powerful enough to resist, bypass, or redefine them.</x:v>
      </x:c>
      <x:c r="H134" s="27" t="str">
        <x:v>A workable opening appears between the two functions. The opportunity is useful but not automatic; someone still has to notice it and make the specific move.</x:v>
      </x:c>
      <x:c r="I134" s="27" t="str">
        <x:v>A supportive opening becomes available; offered, not automatic.</x:v>
      </x:c>
      <x:c r="J134" s="27" t="str">
        <x:v>The opening closes; unused, it passes.</x:v>
      </x:c>
      <x:c r="K134" s="27" t="str">
        <x:v>[runtime sign]</x:v>
      </x:c>
      <x:c r="L134" s="27" t="str">
        <x:v>[lookup Body|Sign]</x:v>
      </x:c>
      <x:c r="M134" s="27" t="str">
        <x:v>[runtime sign]</x:v>
      </x:c>
      <x:c r="N134" s="27" t="str">
        <x:v>[lookup Body|Sign]</x:v>
      </x:c>
      <x:c r="O134" s="27" t="str">
        <x:v>[runtime local datetime]</x:v>
      </x:c>
      <x:c r="P134" s="27" t="str">
        <x:v>[runtime orb]</x:v>
      </x:c>
      <x:c r="Q134" s="27" t="str">
        <x:v>[applying / exact / separating]</x:v>
      </x:c>
      <x:c r="R134" s="27" t="str">
        <x:v>[runtime flags]</x:v>
      </x:c>
      <x:c r="S134" s="27" t="str">
        <x:v>Write one integrated collective Sky Calendar forecast for Saturn in [Planet A sign] sextile Pluto in [Planet B sign] at [calculated date/time]. Preserve this pair meaning: Formal authority meets concentrated leverage. Rules are tested against the people or institutions powerful enough to resist, bypass, or redefine them. For the sextile, apply this behavior: A workable opening appears between the two functions. The opportunity is useful but not automatic; someone still has to notice it and make the specific move. Use the Planet A sign to change how Saturn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4" s="27" t="str">
        <x:v>A serious review reaches the rule, contract, or chain of authority protecting a long-standing abuse of power. Saturn sextile Pluto can give an audit, legal opening, leadership change, or documented complaint enough force to alter the structure instead of disciplining another disposable person. Use the opening against the system that enabled the behavior. Change the approval path, reporting line, or consequence so the same power cannot simply regroup around a new name.</x:v>
      </x:c>
      <x:c r="U134" s="27" t="str"/>
      <x:c r="V134" s="27" t="str">
        <x:v>READY FOR RUNTIME</x:v>
      </x:c>
    </x:row>
    <x:row r="135">
      <x:c r="A135" s="27" t="n">
        <x:v>134</x:v>
      </x:c>
      <x:c r="B135" s="27" t="str">
        <x:v>sky.saturn.conjunction.uranus</x:v>
      </x:c>
      <x:c r="C135" s="27" t="str">
        <x:v>saturn</x:v>
      </x:c>
      <x:c r="D135" s="27" t="str">
        <x:v>conjunction</x:v>
      </x:c>
      <x:c r="E135" s="27" t="str">
        <x:v>uranus</x:v>
      </x:c>
      <x:c r="F135" s="27" t="str">
        <x:v>saturn|uranus</x:v>
      </x:c>
      <x:c r="G135" s="27" t="str">
        <x:v>Structure meets disruption and reform. Change has to become workable, and rules have to prove they still solve the problem they were built for.</x:v>
      </x:c>
      <x:c r="H135" s="27" t="str">
        <x:v>The two functions operate inside the same event. Benefit and complication arrive together, so separating one from the other is difficult.</x:v>
      </x:c>
      <x:c r="I135" s="27" t="str">
        <x:v>The two fuse and intensify as they close in.</x:v>
      </x:c>
      <x:c r="J135" s="27" t="str">
        <x:v>The fused theme peaks and discharges.</x:v>
      </x:c>
      <x:c r="K135" s="27" t="str">
        <x:v>[runtime sign]</x:v>
      </x:c>
      <x:c r="L135" s="27" t="str">
        <x:v>[lookup Body|Sign]</x:v>
      </x:c>
      <x:c r="M135" s="27" t="str">
        <x:v>[runtime sign]</x:v>
      </x:c>
      <x:c r="N135" s="27" t="str">
        <x:v>[lookup Body|Sign]</x:v>
      </x:c>
      <x:c r="O135" s="27" t="str">
        <x:v>[runtime local datetime]</x:v>
      </x:c>
      <x:c r="P135" s="27" t="str">
        <x:v>[runtime orb]</x:v>
      </x:c>
      <x:c r="Q135" s="27" t="str">
        <x:v>[applying / exact / separating]</x:v>
      </x:c>
      <x:c r="R135" s="27" t="str">
        <x:v>[runtime flags]</x:v>
      </x:c>
      <x:c r="S135" s="27" t="str">
        <x:v>Write one integrated collective Sky Calendar forecast for Saturn in [Planet A sign] conjunction Uranus in [Planet B sign] at [calculated date/time]. Preserve this pair meaning: Structure meets disruption and reform. Change has to become workable, and rules have to prove they still solve the problem they were built for. For the conjunction, apply this behavior: The two functions operate inside the same event. Benefit and complication arrive together, so separating one from the other is difficult. Use the Planet A sign to change how Saturn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5" s="27" t="str">
        <x:v>A new system becomes mandatory at the same moment the old one is shut down. Saturn conjunct Uranus can make reform and enforcement arrive together, leaving staff, residents, or users to learn new rules and tools while still meeting every obligation the former process handled. The upgrade may solve a specific problem and still be badly timed. Keep a working bridge between the two systems long enough for records, payments, and people to move. A transition is not complete because leadership declared the old version over.</x:v>
      </x:c>
      <x:c r="U135" s="27" t="str"/>
      <x:c r="V135" s="27" t="str">
        <x:v>READY FOR RUNTIME</x:v>
      </x:c>
    </x:row>
    <x:row r="136">
      <x:c r="A136" s="27" t="n">
        <x:v>135</x:v>
      </x:c>
      <x:c r="B136" s="27" t="str">
        <x:v>sky.saturn.opposition.uranus</x:v>
      </x:c>
      <x:c r="C136" s="27" t="str">
        <x:v>saturn</x:v>
      </x:c>
      <x:c r="D136" s="27" t="str">
        <x:v>opposition</x:v>
      </x:c>
      <x:c r="E136" s="27" t="str">
        <x:v>uranus</x:v>
      </x:c>
      <x:c r="F136" s="27" t="str">
        <x:v>saturn|uranus</x:v>
      </x:c>
      <x:c r="G136" s="27" t="str">
        <x:v>Structure meets disruption and reform. Change has to become workable, and rules have to prove they still solve the problem they were built for.</x:v>
      </x:c>
      <x:c r="H136" s="27" t="str">
        <x:v>Two needs or positions face each other directly through different people, roles, institutions, or requirements. The tradeoff has to become explicit.</x:v>
      </x:c>
      <x:c r="I136" s="27" t="str">
        <x:v>A confrontation builds; the other side comes fully into view.</x:v>
      </x:c>
      <x:c r="J136" s="27" t="str">
        <x:v>The standoff resolves into balance or a split.</x:v>
      </x:c>
      <x:c r="K136" s="27" t="str">
        <x:v>[runtime sign]</x:v>
      </x:c>
      <x:c r="L136" s="27" t="str">
        <x:v>[lookup Body|Sign]</x:v>
      </x:c>
      <x:c r="M136" s="27" t="str">
        <x:v>[runtime sign]</x:v>
      </x:c>
      <x:c r="N136" s="27" t="str">
        <x:v>[lookup Body|Sign]</x:v>
      </x:c>
      <x:c r="O136" s="27" t="str">
        <x:v>[runtime local datetime]</x:v>
      </x:c>
      <x:c r="P136" s="27" t="str">
        <x:v>[runtime orb]</x:v>
      </x:c>
      <x:c r="Q136" s="27" t="str">
        <x:v>[applying / exact / separating]</x:v>
      </x:c>
      <x:c r="R136" s="27" t="str">
        <x:v>[runtime flags]</x:v>
      </x:c>
      <x:c r="S136" s="27" t="str">
        <x:v>Write one integrated collective Sky Calendar forecast for Saturn in [Planet A sign] opposition Uranus in [Planet B sign] at [calculated date/time]. Preserve this pair meaning: Structure meets disruption and reform. Change has to become workable, and rules have to prove they still solve the problem they were built for. For the opposition, apply this behavior: Two needs or positions face each other directly through different people, roles, institutions, or requirements. The tradeoff has to become explicit. Use the Planet A sign to change how Saturn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6" s="27" t="str">
        <x:v>The officials responsible for continuity face the people demanding a complete break from the existing system. Saturn opposite Uranus can put safety, law, records, and services directly across from exclusion, failure, and a structure that has used stability to protect itself. Both sides are naming a risk. The replacement plan should show whose stability matters and who was previously expected to absorb the disruption. Reform is stronger when it protects essential continuity without using continuity as an excuse to preserve the failure.</x:v>
      </x:c>
      <x:c r="U136" s="27" t="str"/>
      <x:c r="V136" s="27" t="str">
        <x:v>READY FOR RUNTIME</x:v>
      </x:c>
    </x:row>
    <x:row r="137">
      <x:c r="A137" s="27" t="n">
        <x:v>136</x:v>
      </x:c>
      <x:c r="B137" s="27" t="str">
        <x:v>sky.saturn.square.uranus</x:v>
      </x:c>
      <x:c r="C137" s="27" t="str">
        <x:v>saturn</x:v>
      </x:c>
      <x:c r="D137" s="27" t="str">
        <x:v>square</x:v>
      </x:c>
      <x:c r="E137" s="27" t="str">
        <x:v>uranus</x:v>
      </x:c>
      <x:c r="F137" s="27" t="str">
        <x:v>saturn|uranus</x:v>
      </x:c>
      <x:c r="G137" s="27" t="str">
        <x:v>Structure meets disruption and reform. Change has to become workable, and rules have to prove they still solve the problem they were built for.</x:v>
      </x:c>
      <x:c r="H137" s="27" t="str">
        <x:v>Friction makes the problem difficult to keep absorbing. Pressure repeats or escalates until the plan, rule, behavior, or distribution of responsibility changes.</x:v>
      </x:c>
      <x:c r="I137" s="27" t="str">
        <x:v>Friction builds toward a forced adjustment.</x:v>
      </x:c>
      <x:c r="J137" s="27" t="str">
        <x:v>The crisis passes; what was restructured settles.</x:v>
      </x:c>
      <x:c r="K137" s="27" t="str">
        <x:v>[runtime sign]</x:v>
      </x:c>
      <x:c r="L137" s="27" t="str">
        <x:v>[lookup Body|Sign]</x:v>
      </x:c>
      <x:c r="M137" s="27" t="str">
        <x:v>[runtime sign]</x:v>
      </x:c>
      <x:c r="N137" s="27" t="str">
        <x:v>[lookup Body|Sign]</x:v>
      </x:c>
      <x:c r="O137" s="27" t="str">
        <x:v>[runtime local datetime]</x:v>
      </x:c>
      <x:c r="P137" s="27" t="str">
        <x:v>[runtime orb]</x:v>
      </x:c>
      <x:c r="Q137" s="27" t="str">
        <x:v>[applying / exact / separating]</x:v>
      </x:c>
      <x:c r="R137" s="27" t="str">
        <x:v>[runtime flags]</x:v>
      </x:c>
      <x:c r="S137" s="27" t="str">
        <x:v>Write one integrated collective Sky Calendar forecast for Saturn in [Planet A sign] square Uranus in [Planet B sign] at [calculated date/time]. Preserve this pair meaning: Structure meets disruption and reform. Change has to become workable, and rules have to prove they still solve the problem they were built for. For the square, apply this behavior: Friction makes the problem difficult to keep absorbing. Pressure repeats or escalates until the plan, rule, behavior, or distribution of responsibility changes. Use the Planet A sign to change how Saturn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7" s="27" t="str">
        <x:v>A rigid institution keeps enforcing a process that technology, staff, or public need has already made obsolete. Saturn square Uranus can make workers build unofficial workarounds while leadership tightens the same rules causing the delay. Every workaround becomes another argument about who is authorized to change the system. Stop treating the workaround as misconduct if it is the only thing keeping the work moving. Document where the official process fails and escalate the specific rule blocking a replacement.</x:v>
      </x:c>
      <x:c r="U137" s="27" t="str"/>
      <x:c r="V137" s="27" t="str">
        <x:v>READY FOR RUNTIME</x:v>
      </x:c>
    </x:row>
    <x:row r="138">
      <x:c r="A138" s="27" t="n">
        <x:v>137</x:v>
      </x:c>
      <x:c r="B138" s="27" t="str">
        <x:v>sky.saturn.trine.uranus</x:v>
      </x:c>
      <x:c r="C138" s="27" t="str">
        <x:v>saturn</x:v>
      </x:c>
      <x:c r="D138" s="27" t="str">
        <x:v>trine</x:v>
      </x:c>
      <x:c r="E138" s="27" t="str">
        <x:v>uranus</x:v>
      </x:c>
      <x:c r="F138" s="27" t="str">
        <x:v>saturn|uranus</x:v>
      </x:c>
      <x:c r="G138" s="27" t="str">
        <x:v>Structure meets disruption and reform. Change has to become workable, and rules have to prove they still solve the problem they were built for.</x:v>
      </x:c>
      <x:c r="H138" s="27" t="str">
        <x:v>The two functions support each other easily. Momentum is available with less resistance, which helps progress but can let a weak assumption travel farther.</x:v>
      </x:c>
      <x:c r="I138" s="27" t="str">
        <x:v>Ease and support build and arrive on their own.</x:v>
      </x:c>
      <x:c r="J138" s="27" t="str">
        <x:v>The ease withdraws; the flow passes, used or not.</x:v>
      </x:c>
      <x:c r="K138" s="27" t="str">
        <x:v>[runtime sign]</x:v>
      </x:c>
      <x:c r="L138" s="27" t="str">
        <x:v>[lookup Body|Sign]</x:v>
      </x:c>
      <x:c r="M138" s="27" t="str">
        <x:v>[runtime sign]</x:v>
      </x:c>
      <x:c r="N138" s="27" t="str">
        <x:v>[lookup Body|Sign]</x:v>
      </x:c>
      <x:c r="O138" s="27" t="str">
        <x:v>[runtime local datetime]</x:v>
      </x:c>
      <x:c r="P138" s="27" t="str">
        <x:v>[runtime orb]</x:v>
      </x:c>
      <x:c r="Q138" s="27" t="str">
        <x:v>[applying / exact / separating]</x:v>
      </x:c>
      <x:c r="R138" s="27" t="str">
        <x:v>[runtime flags]</x:v>
      </x:c>
      <x:c r="S138" s="27" t="str">
        <x:v>Write one integrated collective Sky Calendar forecast for Saturn in [Planet A sign] trine Uranus in [Planet B sign] at [calculated date/time]. Preserve this pair meaning: Structure meets disruption and reform. Change has to become workable, and rules have to prove they still solve the problem they were built for. For the trine, apply this behavior: The two functions support each other easily. Momentum is available with less resistance, which helps progress but can let a weak assumption travel farther. Use the Planet A sign to change how Saturn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8" s="27" t="str">
        <x:v>A major system changes without forcing the people who rely on it to survive a chaotic transition. Saturn trine Uranus can let the old and new processes overlap long enough for records, payments, staff, and public access to move safely between them. Reform does not need disruption to prove it is reform. Keep the backup live until the replacement has handled ordinary use, not just a launch test. People trust change faster when the familiar route disappears after the new one is already working.</x:v>
      </x:c>
      <x:c r="U138" s="27" t="str"/>
      <x:c r="V138" s="27" t="str">
        <x:v>READY FOR RUNTIME</x:v>
      </x:c>
    </x:row>
    <x:row r="139">
      <x:c r="A139" s="27" t="n">
        <x:v>138</x:v>
      </x:c>
      <x:c r="B139" s="27" t="str">
        <x:v>sky.saturn.sextile.uranus</x:v>
      </x:c>
      <x:c r="C139" s="27" t="str">
        <x:v>saturn</x:v>
      </x:c>
      <x:c r="D139" s="27" t="str">
        <x:v>sextile</x:v>
      </x:c>
      <x:c r="E139" s="27" t="str">
        <x:v>uranus</x:v>
      </x:c>
      <x:c r="F139" s="27" t="str">
        <x:v>saturn|uranus</x:v>
      </x:c>
      <x:c r="G139" s="27" t="str">
        <x:v>Structure meets disruption and reform. Change has to become workable, and rules have to prove they still solve the problem they were built for.</x:v>
      </x:c>
      <x:c r="H139" s="27" t="str">
        <x:v>A workable opening appears between the two functions. The opportunity is useful but not automatic; someone still has to notice it and make the specific move.</x:v>
      </x:c>
      <x:c r="I139" s="27" t="str">
        <x:v>A supportive opening becomes available; offered, not automatic.</x:v>
      </x:c>
      <x:c r="J139" s="27" t="str">
        <x:v>The opening closes; unused, it passes.</x:v>
      </x:c>
      <x:c r="K139" s="27" t="str">
        <x:v>[runtime sign]</x:v>
      </x:c>
      <x:c r="L139" s="27" t="str">
        <x:v>[lookup Body|Sign]</x:v>
      </x:c>
      <x:c r="M139" s="27" t="str">
        <x:v>[runtime sign]</x:v>
      </x:c>
      <x:c r="N139" s="27" t="str">
        <x:v>[lookup Body|Sign]</x:v>
      </x:c>
      <x:c r="O139" s="27" t="str">
        <x:v>[runtime local datetime]</x:v>
      </x:c>
      <x:c r="P139" s="27" t="str">
        <x:v>[runtime orb]</x:v>
      </x:c>
      <x:c r="Q139" s="27" t="str">
        <x:v>[applying / exact / separating]</x:v>
      </x:c>
      <x:c r="R139" s="27" t="str">
        <x:v>[runtime flags]</x:v>
      </x:c>
      <x:c r="S139" s="27" t="str">
        <x:v>Write one integrated collective Sky Calendar forecast for Saturn in [Planet A sign] sextile Uranus in [Planet B sign] at [calculated date/time]. Preserve this pair meaning: Structure meets disruption and reform. Change has to become workable, and rules have to prove they still solve the problem they were built for. For the sextile, apply this behavior: A workable opening appears between the two functions. The opportunity is useful but not automatic; someone still has to notice it and make the specific move. Use the Planet A sign to change how Saturn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39" s="27" t="str">
        <x:v>An overdue system upgrade fixes a pipeline that was quietly failing the people who needed it most. Saturn sextile Uranus can turn one approved change in booking, inventory, payouts, or processing into a much faster route through a stubborn bottleneck. The improvement may be technical, but the result is human: fewer missed appointments, delayed payments, or people turned away. Finish the unglamorous implementation. A good reform is the one that reaches the front door with less delay.</x:v>
      </x:c>
      <x:c r="U139" s="27" t="str"/>
      <x:c r="V139" s="27" t="str">
        <x:v>READY FOR RUNTIME</x:v>
      </x:c>
    </x:row>
    <x:row r="140">
      <x:c r="A140" s="27" t="n">
        <x:v>139</x:v>
      </x:c>
      <x:c r="B140" s="27" t="str">
        <x:v>sky.sun.conjunction.jupiter</x:v>
      </x:c>
      <x:c r="C140" s="27" t="str">
        <x:v>sun</x:v>
      </x:c>
      <x:c r="D140" s="27" t="str">
        <x:v>conjunction</x:v>
      </x:c>
      <x:c r="E140" s="27" t="str">
        <x:v>jupiter</x:v>
      </x:c>
      <x:c r="F140" s="27" t="str">
        <x:v>sun|jupiter</x:v>
      </x:c>
      <x:c r="G140" s="27" t="str">
        <x:v>Leadership, visibility, and purpose meet expansion. Authority can widen reach, confidence, opportunity, or the size of the promise.</x:v>
      </x:c>
      <x:c r="H140" s="27" t="str">
        <x:v>The two functions operate inside the same event. Benefit and complication arrive together, so separating one from the other is difficult.</x:v>
      </x:c>
      <x:c r="I140" s="27" t="str">
        <x:v>The two fuse and intensify as they close in.</x:v>
      </x:c>
      <x:c r="J140" s="27" t="str">
        <x:v>The fused theme peaks and discharges.</x:v>
      </x:c>
      <x:c r="K140" s="27" t="str">
        <x:v>[runtime sign]</x:v>
      </x:c>
      <x:c r="L140" s="27" t="str">
        <x:v>[lookup Body|Sign]</x:v>
      </x:c>
      <x:c r="M140" s="27" t="str">
        <x:v>[runtime sign]</x:v>
      </x:c>
      <x:c r="N140" s="27" t="str">
        <x:v>[lookup Body|Sign]</x:v>
      </x:c>
      <x:c r="O140" s="27" t="str">
        <x:v>[runtime local datetime]</x:v>
      </x:c>
      <x:c r="P140" s="27" t="str">
        <x:v>[runtime orb]</x:v>
      </x:c>
      <x:c r="Q140" s="27" t="str">
        <x:v>[applying / exact / separating]</x:v>
      </x:c>
      <x:c r="R140" s="27" t="str">
        <x:v>[runtime flags]</x:v>
      </x:c>
      <x:c r="S140" s="27" t="str">
        <x:v>Write one integrated collective Sky Calendar forecast for Sun in [Planet A sign] conjunction Jupiter in [Planet B sign] at [calculated date/time]. Preserve this pair meaning: Leadership, visibility, and purpose meet expansion. Authority can widen reach, confidence, opportunity, or the size of the promise.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0" s="27" t="str">
        <x:v>A wave of attention puts a leader or passion project center stage. Sun conjunct Jupiter can make visibility and expansion feed each other so quickly that public backing becomes a new level of responsibility before the person at the center has had time to adjust. More attention creates more expectation. Decide what the larger audience can actually receive now. A bigger platform is useful when the promise grows with the work, not faster than it.</x:v>
      </x:c>
      <x:c r="U140" s="27" t="str"/>
      <x:c r="V140" s="27" t="str">
        <x:v>READY FOR RUNTIME</x:v>
      </x:c>
    </x:row>
    <x:row r="141">
      <x:c r="A141" s="27" t="n">
        <x:v>140</x:v>
      </x:c>
      <x:c r="B141" s="27" t="str">
        <x:v>sky.sun.opposition.jupiter</x:v>
      </x:c>
      <x:c r="C141" s="27" t="str">
        <x:v>sun</x:v>
      </x:c>
      <x:c r="D141" s="27" t="str">
        <x:v>opposition</x:v>
      </x:c>
      <x:c r="E141" s="27" t="str">
        <x:v>jupiter</x:v>
      </x:c>
      <x:c r="F141" s="27" t="str">
        <x:v>sun|jupiter</x:v>
      </x:c>
      <x:c r="G141" s="27" t="str">
        <x:v>Leadership, visibility, and purpose meet expansion. Authority can widen reach, confidence, opportunity, or the size of the promise.</x:v>
      </x:c>
      <x:c r="H141" s="27" t="str">
        <x:v>Two needs or positions face each other directly through different people, roles, institutions, or requirements. The tradeoff has to become explicit.</x:v>
      </x:c>
      <x:c r="I141" s="27" t="str">
        <x:v>A confrontation builds; the other side comes fully into view.</x:v>
      </x:c>
      <x:c r="J141" s="27" t="str">
        <x:v>The standoff resolves into balance or a split.</x:v>
      </x:c>
      <x:c r="K141" s="27" t="str">
        <x:v>[runtime sign]</x:v>
      </x:c>
      <x:c r="L141" s="27" t="str">
        <x:v>[lookup Body|Sign]</x:v>
      </x:c>
      <x:c r="M141" s="27" t="str">
        <x:v>[runtime sign]</x:v>
      </x:c>
      <x:c r="N141" s="27" t="str">
        <x:v>[lookup Body|Sign]</x:v>
      </x:c>
      <x:c r="O141" s="27" t="str">
        <x:v>[runtime local datetime]</x:v>
      </x:c>
      <x:c r="P141" s="27" t="str">
        <x:v>[runtime orb]</x:v>
      </x:c>
      <x:c r="Q141" s="27" t="str">
        <x:v>[applying / exact / separating]</x:v>
      </x:c>
      <x:c r="R141" s="27" t="str">
        <x:v>[runtime flags]</x:v>
      </x:c>
      <x:c r="S141" s="27" t="str">
        <x:v>Write one integrated collective Sky Calendar forecast for Sun in [Planet A sign] opposition Jupiter in [Planet B sign] at [calculated date/time]. Preserve this pair meaning: Leadership, visibility, and purpose meet expansion. Authority can widen reach, confidence, opportunity, or the size of the promise.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1" s="27" t="str">
        <x:v>The announcement promises access on a much larger scale than the current system can deliver. Sun opposite Jupiter can put the inspiring headline directly across from waitlists, staffing limits, and costs that have already exceeded the original plan. Leadership may be right that demand is there. Operators may be right that the system cannot support it yet. Close the gap before another public promise widens it. Publish the limits, expand what can be delivered, or narrow the claim.</x:v>
      </x:c>
      <x:c r="U141" s="27" t="str"/>
      <x:c r="V141" s="27" t="str">
        <x:v>READY FOR RUNTIME</x:v>
      </x:c>
    </x:row>
    <x:row r="142">
      <x:c r="A142" s="27" t="n">
        <x:v>141</x:v>
      </x:c>
      <x:c r="B142" s="27" t="str">
        <x:v>sky.sun.square.jupiter</x:v>
      </x:c>
      <x:c r="C142" s="27" t="str">
        <x:v>sun</x:v>
      </x:c>
      <x:c r="D142" s="27" t="str">
        <x:v>square</x:v>
      </x:c>
      <x:c r="E142" s="27" t="str">
        <x:v>jupiter</x:v>
      </x:c>
      <x:c r="F142" s="27" t="str">
        <x:v>sun|jupiter</x:v>
      </x:c>
      <x:c r="G142" s="27" t="str">
        <x:v>Leadership, visibility, and purpose meet expansion. Authority can widen reach, confidence, opportunity, or the size of the promise.</x:v>
      </x:c>
      <x:c r="H142" s="27" t="str">
        <x:v>Friction makes the problem difficult to keep absorbing. Pressure repeats or escalates until the plan, rule, behavior, or distribution of responsibility changes.</x:v>
      </x:c>
      <x:c r="I142" s="27" t="str">
        <x:v>Friction builds toward a forced adjustment.</x:v>
      </x:c>
      <x:c r="J142" s="27" t="str">
        <x:v>The crisis passes; what was restructured settles.</x:v>
      </x:c>
      <x:c r="K142" s="27" t="str">
        <x:v>[runtime sign]</x:v>
      </x:c>
      <x:c r="L142" s="27" t="str">
        <x:v>[lookup Body|Sign]</x:v>
      </x:c>
      <x:c r="M142" s="27" t="str">
        <x:v>[runtime sign]</x:v>
      </x:c>
      <x:c r="N142" s="27" t="str">
        <x:v>[lookup Body|Sign]</x:v>
      </x:c>
      <x:c r="O142" s="27" t="str">
        <x:v>[runtime local datetime]</x:v>
      </x:c>
      <x:c r="P142" s="27" t="str">
        <x:v>[runtime orb]</x:v>
      </x:c>
      <x:c r="Q142" s="27" t="str">
        <x:v>[applying / exact / separating]</x:v>
      </x:c>
      <x:c r="R142" s="27" t="str">
        <x:v>[runtime flags]</x:v>
      </x:c>
      <x:c r="S142" s="27" t="str">
        <x:v>Write one integrated collective Sky Calendar forecast for Sun in [Planet A sign] square Jupiter in [Planet B sign] at [calculated date/time]. Preserve this pair meaning: Leadership, visibility, and purpose meet expansion. Authority can widen reach, confidence, opportunity, or the size of the promise.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2" s="27" t="str">
        <x:v>The launch keeps adding features while the budget and sign-off stay put. Sun square Jupiter can make every new promise sound exciting in public while the staff, time, and legal authority needed to deliver it remain exactly the same. Scope grows because optimism keeps winning the meeting. The team inherits every expectation anyway. Freeze the additions long enough to compare the public promise with the resources underneath it. If the numbers did not grow, the scope cannot keep growing for free.</x:v>
      </x:c>
      <x:c r="U142" s="27" t="str"/>
      <x:c r="V142" s="27" t="str">
        <x:v>READY FOR RUNTIME</x:v>
      </x:c>
    </x:row>
    <x:row r="143">
      <x:c r="A143" s="27" t="n">
        <x:v>142</x:v>
      </x:c>
      <x:c r="B143" s="27" t="str">
        <x:v>sky.sun.trine.jupiter</x:v>
      </x:c>
      <x:c r="C143" s="27" t="str">
        <x:v>sun</x:v>
      </x:c>
      <x:c r="D143" s="27" t="str">
        <x:v>trine</x:v>
      </x:c>
      <x:c r="E143" s="27" t="str">
        <x:v>jupiter</x:v>
      </x:c>
      <x:c r="F143" s="27" t="str">
        <x:v>sun|jupiter</x:v>
      </x:c>
      <x:c r="G143" s="27" t="str">
        <x:v>Leadership, visibility, and purpose meet expansion. Authority can widen reach, confidence, opportunity, or the size of the promise.</x:v>
      </x:c>
      <x:c r="H143" s="27" t="str">
        <x:v>The two functions support each other easily. Momentum is available with less resistance, which helps progress but can let a weak assumption travel farther.</x:v>
      </x:c>
      <x:c r="I143" s="27" t="str">
        <x:v>Ease and support build and arrive on their own.</x:v>
      </x:c>
      <x:c r="J143" s="27" t="str">
        <x:v>The ease withdraws; the flow passes, used or not.</x:v>
      </x:c>
      <x:c r="K143" s="27" t="str">
        <x:v>[runtime sign]</x:v>
      </x:c>
      <x:c r="L143" s="27" t="str">
        <x:v>[lookup Body|Sign]</x:v>
      </x:c>
      <x:c r="M143" s="27" t="str">
        <x:v>[runtime sign]</x:v>
      </x:c>
      <x:c r="N143" s="27" t="str">
        <x:v>[lookup Body|Sign]</x:v>
      </x:c>
      <x:c r="O143" s="27" t="str">
        <x:v>[runtime local datetime]</x:v>
      </x:c>
      <x:c r="P143" s="27" t="str">
        <x:v>[runtime orb]</x:v>
      </x:c>
      <x:c r="Q143" s="27" t="str">
        <x:v>[applying / exact / separating]</x:v>
      </x:c>
      <x:c r="R143" s="27" t="str">
        <x:v>[runtime flags]</x:v>
      </x:c>
      <x:c r="S143" s="27" t="str">
        <x:v>Write one integrated collective Sky Calendar forecast for Sun in [Planet A sign] trine Jupiter in [Planet B sign] at [calculated date/time]. Preserve this pair meaning: Leadership, visibility, and purpose meet expansion. Authority can widen reach, confidence, opportunity, or the size of the promise.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3" s="27" t="str">
        <x:v>Public support arrives at the exact point a proven project is ready to expand. Sun trine Jupiter can bring funding, press, or institutional backing to work that already has a team, a record, and a clear next stage. The opportunity feels earned because the larger audience can see what its support is helping continue. This is a good time to grow the part that already works. Keep the expansion tied to the method, people, and purpose that produced the result in the first place.</x:v>
      </x:c>
      <x:c r="U143" s="27" t="str"/>
      <x:c r="V143" s="27" t="str">
        <x:v>READY FOR RUNTIME</x:v>
      </x:c>
    </x:row>
    <x:row r="144">
      <x:c r="A144" s="27" t="n">
        <x:v>143</x:v>
      </x:c>
      <x:c r="B144" s="27" t="str">
        <x:v>sky.sun.sextile.jupiter</x:v>
      </x:c>
      <x:c r="C144" s="27" t="str">
        <x:v>sun</x:v>
      </x:c>
      <x:c r="D144" s="27" t="str">
        <x:v>sextile</x:v>
      </x:c>
      <x:c r="E144" s="27" t="str">
        <x:v>jupiter</x:v>
      </x:c>
      <x:c r="F144" s="27" t="str">
        <x:v>sun|jupiter</x:v>
      </x:c>
      <x:c r="G144" s="27" t="str">
        <x:v>Leadership, visibility, and purpose meet expansion. Authority can widen reach, confidence, opportunity, or the size of the promise.</x:v>
      </x:c>
      <x:c r="H144" s="27" t="str">
        <x:v>A workable opening appears between the two functions. The opportunity is useful but not automatic; someone still has to notice it and make the specific move.</x:v>
      </x:c>
      <x:c r="I144" s="27" t="str">
        <x:v>A supportive opening becomes available; offered, not automatic.</x:v>
      </x:c>
      <x:c r="J144" s="27" t="str">
        <x:v>The opening closes; unused, it passes.</x:v>
      </x:c>
      <x:c r="K144" s="27" t="str">
        <x:v>[runtime sign]</x:v>
      </x:c>
      <x:c r="L144" s="27" t="str">
        <x:v>[lookup Body|Sign]</x:v>
      </x:c>
      <x:c r="M144" s="27" t="str">
        <x:v>[runtime sign]</x:v>
      </x:c>
      <x:c r="N144" s="27" t="str">
        <x:v>[lookup Body|Sign]</x:v>
      </x:c>
      <x:c r="O144" s="27" t="str">
        <x:v>[runtime local datetime]</x:v>
      </x:c>
      <x:c r="P144" s="27" t="str">
        <x:v>[runtime orb]</x:v>
      </x:c>
      <x:c r="Q144" s="27" t="str">
        <x:v>[applying / exact / separating]</x:v>
      </x:c>
      <x:c r="R144" s="27" t="str">
        <x:v>[runtime flags]</x:v>
      </x:c>
      <x:c r="S144" s="27" t="str">
        <x:v>Write one integrated collective Sky Calendar forecast for Sun in [Planet A sign] sextile Jupiter in [Planet B sign] at [calculated date/time]. Preserve this pair meaning: Leadership, visibility, and purpose meet expansion. Authority can widen reach, confidence, opportunity, or the size of the promise.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4" s="27" t="str">
        <x:v>A grant clears and a partner signs, funding the exact piece that needed support right as momentum stalled. Sun sextile Jupiter can open a larger door without forcing the project to become something else. Hire the missing person, reserve the space, secure the permit, or solve the specific problem that stopped the next stage. Use the support where it was actually needed. A larger opportunity stays useful when it is attached to a defined job instead of another oversized promise.</x:v>
      </x:c>
      <x:c r="U144" s="27" t="str"/>
      <x:c r="V144" s="27" t="str">
        <x:v>READY FOR RUNTIME</x:v>
      </x:c>
    </x:row>
    <x:row r="145">
      <x:c r="A145" s="27" t="n">
        <x:v>144</x:v>
      </x:c>
      <x:c r="B145" s="27" t="str">
        <x:v>sky.sun.conjunction.mars</x:v>
      </x:c>
      <x:c r="C145" s="27" t="str">
        <x:v>sun</x:v>
      </x:c>
      <x:c r="D145" s="27" t="str">
        <x:v>conjunction</x:v>
      </x:c>
      <x:c r="E145" s="27" t="str">
        <x:v>mars</x:v>
      </x:c>
      <x:c r="F145" s="27" t="str">
        <x:v>sun|mars</x:v>
      </x:c>
      <x:c r="G145" s="27" t="str">
        <x:v>Leadership and direction meet action and force. A decision becomes execution, conflict, or a demand that someone act now.</x:v>
      </x:c>
      <x:c r="H145" s="27" t="str">
        <x:v>The two functions operate inside the same event. Benefit and complication arrive together, so separating one from the other is difficult.</x:v>
      </x:c>
      <x:c r="I145" s="27" t="str">
        <x:v>The two fuse and intensify as they close in.</x:v>
      </x:c>
      <x:c r="J145" s="27" t="str">
        <x:v>The fused theme peaks and discharges.</x:v>
      </x:c>
      <x:c r="K145" s="27" t="str">
        <x:v>[runtime sign]</x:v>
      </x:c>
      <x:c r="L145" s="27" t="str">
        <x:v>[lookup Body|Sign]</x:v>
      </x:c>
      <x:c r="M145" s="27" t="str">
        <x:v>[runtime sign]</x:v>
      </x:c>
      <x:c r="N145" s="27" t="str">
        <x:v>[lookup Body|Sign]</x:v>
      </x:c>
      <x:c r="O145" s="27" t="str">
        <x:v>[runtime local datetime]</x:v>
      </x:c>
      <x:c r="P145" s="27" t="str">
        <x:v>[runtime orb]</x:v>
      </x:c>
      <x:c r="Q145" s="27" t="str">
        <x:v>[applying / exact / separating]</x:v>
      </x:c>
      <x:c r="R145" s="27" t="str">
        <x:v>[runtime flags]</x:v>
      </x:c>
      <x:c r="S145" s="27" t="str">
        <x:v>Write one integrated collective Sky Calendar forecast for Sun in [Planet A sign] conjunction Mars in [Planet B sign] at [calculated date/time]. Preserve this pair meaning: Leadership and direction meet action and force. A decision becomes execution, conflict, or a demand that someone act now.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5" s="27" t="str">
        <x:v>The plan and the first move happen in the same meeting. Sun conjunct Mars can remove nearly all distance between deciding and doing, so a vote is followed by a filing, launch, dismissal, or transfer before anyone outside the meeting can prepare. That speed gives leadership power and responsibility at the same time. The person setting the direction also owns the consequences of the first move. Fast execution is not an excuse to pretend the overlooked fallout belongs to somebody else.</x:v>
      </x:c>
      <x:c r="U145" s="27" t="str"/>
      <x:c r="V145" s="27" t="str">
        <x:v>READY FOR RUNTIME</x:v>
      </x:c>
    </x:row>
    <x:row r="146">
      <x:c r="A146" s="27" t="n">
        <x:v>145</x:v>
      </x:c>
      <x:c r="B146" s="27" t="str">
        <x:v>sky.sun.opposition.mars</x:v>
      </x:c>
      <x:c r="C146" s="27" t="str">
        <x:v>sun</x:v>
      </x:c>
      <x:c r="D146" s="27" t="str">
        <x:v>opposition</x:v>
      </x:c>
      <x:c r="E146" s="27" t="str">
        <x:v>mars</x:v>
      </x:c>
      <x:c r="F146" s="27" t="str">
        <x:v>sun|mars</x:v>
      </x:c>
      <x:c r="G146" s="27" t="str">
        <x:v>Leadership and direction meet action and force. A decision becomes execution, conflict, or a demand that someone act now.</x:v>
      </x:c>
      <x:c r="H146" s="27" t="str">
        <x:v>Two needs or positions face each other directly through different people, roles, institutions, or requirements. The tradeoff has to become explicit.</x:v>
      </x:c>
      <x:c r="I146" s="27" t="str">
        <x:v>A confrontation builds; the other side comes fully into view.</x:v>
      </x:c>
      <x:c r="J146" s="27" t="str">
        <x:v>The standoff resolves into balance or a split.</x:v>
      </x:c>
      <x:c r="K146" s="27" t="str">
        <x:v>[runtime sign]</x:v>
      </x:c>
      <x:c r="L146" s="27" t="str">
        <x:v>[lookup Body|Sign]</x:v>
      </x:c>
      <x:c r="M146" s="27" t="str">
        <x:v>[runtime sign]</x:v>
      </x:c>
      <x:c r="N146" s="27" t="str">
        <x:v>[lookup Body|Sign]</x:v>
      </x:c>
      <x:c r="O146" s="27" t="str">
        <x:v>[runtime local datetime]</x:v>
      </x:c>
      <x:c r="P146" s="27" t="str">
        <x:v>[runtime orb]</x:v>
      </x:c>
      <x:c r="Q146" s="27" t="str">
        <x:v>[applying / exact / separating]</x:v>
      </x:c>
      <x:c r="R146" s="27" t="str">
        <x:v>[runtime flags]</x:v>
      </x:c>
      <x:c r="S146" s="27" t="str">
        <x:v>Write one integrated collective Sky Calendar forecast for Sun in [Planet A sign] opposition Mars in [Planet B sign] at [calculated date/time]. Preserve this pair meaning: Leadership and direction meet action and force. A decision becomes execution, conflict, or a demand that someone act now.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6" s="27" t="str">
        <x:v>The person announcing the plan stands across from the people expected to execute it. Sun opposite Mars can put strategy and urgency directly against safety, hours, and the work that cannot be completed on command. Issuing the order is not the same as having the people to fulfill it. Bring the operators into the decision before the deadline becomes a test of obedience. A plan is stronger when the people doing the work can say what it will actually take.</x:v>
      </x:c>
      <x:c r="U146" s="27" t="str"/>
      <x:c r="V146" s="27" t="str">
        <x:v>READY FOR RUNTIME</x:v>
      </x:c>
    </x:row>
    <x:row r="147">
      <x:c r="A147" s="27" t="n">
        <x:v>146</x:v>
      </x:c>
      <x:c r="B147" s="27" t="str">
        <x:v>sky.sun.square.mars</x:v>
      </x:c>
      <x:c r="C147" s="27" t="str">
        <x:v>sun</x:v>
      </x:c>
      <x:c r="D147" s="27" t="str">
        <x:v>square</x:v>
      </x:c>
      <x:c r="E147" s="27" t="str">
        <x:v>mars</x:v>
      </x:c>
      <x:c r="F147" s="27" t="str">
        <x:v>sun|mars</x:v>
      </x:c>
      <x:c r="G147" s="27" t="str">
        <x:v>Leadership and direction meet action and force. A decision becomes execution, conflict, or a demand that someone act now.</x:v>
      </x:c>
      <x:c r="H147" s="27" t="str">
        <x:v>Friction makes the problem difficult to keep absorbing. Pressure repeats or escalates until the plan, rule, behavior, or distribution of responsibility changes.</x:v>
      </x:c>
      <x:c r="I147" s="27" t="str">
        <x:v>Friction builds toward a forced adjustment.</x:v>
      </x:c>
      <x:c r="J147" s="27" t="str">
        <x:v>The crisis passes; what was restructured settles.</x:v>
      </x:c>
      <x:c r="K147" s="27" t="str">
        <x:v>[runtime sign]</x:v>
      </x:c>
      <x:c r="L147" s="27" t="str">
        <x:v>[lookup Body|Sign]</x:v>
      </x:c>
      <x:c r="M147" s="27" t="str">
        <x:v>[runtime sign]</x:v>
      </x:c>
      <x:c r="N147" s="27" t="str">
        <x:v>[lookup Body|Sign]</x:v>
      </x:c>
      <x:c r="O147" s="27" t="str">
        <x:v>[runtime local datetime]</x:v>
      </x:c>
      <x:c r="P147" s="27" t="str">
        <x:v>[runtime orb]</x:v>
      </x:c>
      <x:c r="Q147" s="27" t="str">
        <x:v>[applying / exact / separating]</x:v>
      </x:c>
      <x:c r="R147" s="27" t="str">
        <x:v>[runtime flags]</x:v>
      </x:c>
      <x:c r="S147" s="27" t="str">
        <x:v>Write one integrated collective Sky Calendar forecast for Sun in [Planet A sign] square Mars in [Planet B sign] at [calculated date/time]. Preserve this pair meaning: Leadership and direction meet action and force. A decision becomes execution, conflict, or a demand that someone act now.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7" s="27" t="str">
        <x:v>A director moves the date up and the team pushes back in the same email thread. Sun square Mars can turn the schedule into a direct fight over authority when management treats the order as final and the people responsible for delivery are still naming missing staff, unfinished work, and prior commitments. The date may hold and the mistakes will still count. Recalculate the workload before demanding faster execution. Pressure does not create extra hours just because leadership needs them.</x:v>
      </x:c>
      <x:c r="U147" s="27" t="str"/>
      <x:c r="V147" s="27" t="str">
        <x:v>READY FOR RUNTIME</x:v>
      </x:c>
    </x:row>
    <x:row r="148">
      <x:c r="A148" s="27" t="n">
        <x:v>147</x:v>
      </x:c>
      <x:c r="B148" s="27" t="str">
        <x:v>sky.sun.trine.mars</x:v>
      </x:c>
      <x:c r="C148" s="27" t="str">
        <x:v>sun</x:v>
      </x:c>
      <x:c r="D148" s="27" t="str">
        <x:v>trine</x:v>
      </x:c>
      <x:c r="E148" s="27" t="str">
        <x:v>mars</x:v>
      </x:c>
      <x:c r="F148" s="27" t="str">
        <x:v>sun|mars</x:v>
      </x:c>
      <x:c r="G148" s="27" t="str">
        <x:v>Leadership and direction meet action and force. A decision becomes execution, conflict, or a demand that someone act now.</x:v>
      </x:c>
      <x:c r="H148" s="27" t="str">
        <x:v>The two functions support each other easily. Momentum is available with less resistance, which helps progress but can let a weak assumption travel farther.</x:v>
      </x:c>
      <x:c r="I148" s="27" t="str">
        <x:v>Ease and support build and arrive on their own.</x:v>
      </x:c>
      <x:c r="J148" s="27" t="str">
        <x:v>The ease withdraws; the flow passes, used or not.</x:v>
      </x:c>
      <x:c r="K148" s="27" t="str">
        <x:v>[runtime sign]</x:v>
      </x:c>
      <x:c r="L148" s="27" t="str">
        <x:v>[lookup Body|Sign]</x:v>
      </x:c>
      <x:c r="M148" s="27" t="str">
        <x:v>[runtime sign]</x:v>
      </x:c>
      <x:c r="N148" s="27" t="str">
        <x:v>[lookup Body|Sign]</x:v>
      </x:c>
      <x:c r="O148" s="27" t="str">
        <x:v>[runtime local datetime]</x:v>
      </x:c>
      <x:c r="P148" s="27" t="str">
        <x:v>[runtime orb]</x:v>
      </x:c>
      <x:c r="Q148" s="27" t="str">
        <x:v>[applying / exact / separating]</x:v>
      </x:c>
      <x:c r="R148" s="27" t="str">
        <x:v>[runtime flags]</x:v>
      </x:c>
      <x:c r="S148" s="27" t="str">
        <x:v>Write one integrated collective Sky Calendar forecast for Sun in [Planet A sign] trine Mars in [Planet B sign] at [calculated date/time]. Preserve this pair meaning: Leadership and direction meet action and force. A decision becomes execution, conflict, or a demand that someone act now.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8" s="27" t="str">
        <x:v>The order is given and the work begins without a second meeting. Sun trine Mars can make authority and action reinforce each other because the staff, tools, and approval were secured before the directive arrived. Nobody has to waste time wondering if they are allowed to proceed. Keep the objective clear and let the people doing the work move. Good leadership is visible in how little avoidable friction remains between the decision and the first useful action.</x:v>
      </x:c>
      <x:c r="U148" s="27" t="str"/>
      <x:c r="V148" s="27" t="str">
        <x:v>READY FOR RUNTIME</x:v>
      </x:c>
    </x:row>
    <x:row r="149">
      <x:c r="A149" s="27" t="n">
        <x:v>148</x:v>
      </x:c>
      <x:c r="B149" s="27" t="str">
        <x:v>sky.sun.sextile.mars</x:v>
      </x:c>
      <x:c r="C149" s="27" t="str">
        <x:v>sun</x:v>
      </x:c>
      <x:c r="D149" s="27" t="str">
        <x:v>sextile</x:v>
      </x:c>
      <x:c r="E149" s="27" t="str">
        <x:v>mars</x:v>
      </x:c>
      <x:c r="F149" s="27" t="str">
        <x:v>sun|mars</x:v>
      </x:c>
      <x:c r="G149" s="27" t="str">
        <x:v>Leadership and direction meet action and force. A decision becomes execution, conflict, or a demand that someone act now.</x:v>
      </x:c>
      <x:c r="H149" s="27" t="str">
        <x:v>A workable opening appears between the two functions. The opportunity is useful but not automatic; someone still has to notice it and make the specific move.</x:v>
      </x:c>
      <x:c r="I149" s="27" t="str">
        <x:v>A supportive opening becomes available; offered, not automatic.</x:v>
      </x:c>
      <x:c r="J149" s="27" t="str">
        <x:v>The opening closes; unused, it passes.</x:v>
      </x:c>
      <x:c r="K149" s="27" t="str">
        <x:v>[runtime sign]</x:v>
      </x:c>
      <x:c r="L149" s="27" t="str">
        <x:v>[lookup Body|Sign]</x:v>
      </x:c>
      <x:c r="M149" s="27" t="str">
        <x:v>[runtime sign]</x:v>
      </x:c>
      <x:c r="N149" s="27" t="str">
        <x:v>[lookup Body|Sign]</x:v>
      </x:c>
      <x:c r="O149" s="27" t="str">
        <x:v>[runtime local datetime]</x:v>
      </x:c>
      <x:c r="P149" s="27" t="str">
        <x:v>[runtime orb]</x:v>
      </x:c>
      <x:c r="Q149" s="27" t="str">
        <x:v>[applying / exact / separating]</x:v>
      </x:c>
      <x:c r="R149" s="27" t="str">
        <x:v>[runtime flags]</x:v>
      </x:c>
      <x:c r="S149" s="27" t="str">
        <x:v>Write one integrated collective Sky Calendar forecast for Sun in [Planet A sign] sextile Mars in [Planet B sign] at [calculated date/time]. Preserve this pair meaning: Leadership and direction meet action and force. A decision becomes execution, conflict, or a demand that someone act now.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49" s="27" t="str">
        <x:v>One person takes the first task and another claims the next, dividing the work without an argument. Sun sextile Mars can make a partial plan useful once somebody has enough authority to start the first concrete piece. The early result gives the rest of the project something to build around. Name the first two owners and let them move. Clear handoffs and decision rights matter more than having every detail final before the work begins.</x:v>
      </x:c>
      <x:c r="U149" s="27" t="str"/>
      <x:c r="V149" s="27" t="str">
        <x:v>READY FOR RUNTIME</x:v>
      </x:c>
    </x:row>
    <x:row r="150">
      <x:c r="A150" s="27" t="n">
        <x:v>149</x:v>
      </x:c>
      <x:c r="B150" s="27" t="str">
        <x:v>sky.sun.conjunction.mercury</x:v>
      </x:c>
      <x:c r="C150" s="27" t="str">
        <x:v>sun</x:v>
      </x:c>
      <x:c r="D150" s="27" t="str">
        <x:v>conjunction</x:v>
      </x:c>
      <x:c r="E150" s="27" t="str">
        <x:v>mercury</x:v>
      </x:c>
      <x:c r="F150" s="27" t="str">
        <x:v>sun|mercury</x:v>
      </x:c>
      <x:c r="G150" s="27" t="str">
        <x:v>Leadership and communication combine. The message, announcement, or decision becomes the public direction people are expected to follow.</x:v>
      </x:c>
      <x:c r="H150" s="27" t="str">
        <x:v>The two functions operate inside the same event. Benefit and complication arrive together, so separating one from the other is difficult.</x:v>
      </x:c>
      <x:c r="I150" s="27" t="str">
        <x:v>The two fuse and intensify as they close in.</x:v>
      </x:c>
      <x:c r="J150" s="27" t="str">
        <x:v>The fused theme peaks and discharges.</x:v>
      </x:c>
      <x:c r="K150" s="27" t="str">
        <x:v>[runtime sign]</x:v>
      </x:c>
      <x:c r="L150" s="27" t="str">
        <x:v>[lookup Body|Sign]</x:v>
      </x:c>
      <x:c r="M150" s="27" t="str">
        <x:v>[runtime sign]</x:v>
      </x:c>
      <x:c r="N150" s="27" t="str">
        <x:v>[lookup Body|Sign]</x:v>
      </x:c>
      <x:c r="O150" s="27" t="str">
        <x:v>[runtime local datetime]</x:v>
      </x:c>
      <x:c r="P150" s="27" t="str">
        <x:v>[runtime orb]</x:v>
      </x:c>
      <x:c r="Q150" s="27" t="str">
        <x:v>[applying / exact / separating]</x:v>
      </x:c>
      <x:c r="R150" s="27" t="str">
        <x:v>[runtime flags]</x:v>
      </x:c>
      <x:c r="S150" s="27" t="str">
        <x:v>Write one integrated collective Sky Calendar forecast for Sun in [Planet A sign] conjunction Mercury in [Planet B sign] at [calculated date/time]. Preserve this pair meaning: Leadership and communication combine. The message, announcement, or decision becomes the public direction people are expected to follow.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Mercury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0" s="27" t="str">
        <x:v>A closed-door talk exposes who has been pulling the strings. Sun conjunct Mercury can bring a hidden conflict of interest, secret clause, or unaccounted-for resource into the same conversation as the decision about who is trusted next. The record matters because authority is already involved. Ask for the straight answer and the document behind it. Once the hidden arrangement is named, do not let the room solve the embarrassment faster than it solves the access or accountability problem.</x:v>
      </x:c>
      <x:c r="U150" s="27" t="str"/>
      <x:c r="V150" s="27" t="str">
        <x:v>READY FOR RUNTIME</x:v>
      </x:c>
    </x:row>
    <x:row r="151">
      <x:c r="A151" s="27" t="n">
        <x:v>150</x:v>
      </x:c>
      <x:c r="B151" s="27" t="str">
        <x:v>sky.sun.conjunction.moon</x:v>
      </x:c>
      <x:c r="C151" s="27" t="str">
        <x:v>sun</x:v>
      </x:c>
      <x:c r="D151" s="27" t="str">
        <x:v>conjunction</x:v>
      </x:c>
      <x:c r="E151" s="27" t="str">
        <x:v>moon</x:v>
      </x:c>
      <x:c r="F151" s="27" t="str">
        <x:v>sun|moon</x:v>
      </x:c>
      <x:c r="G151" s="27" t="str">
        <x:v>Official direction meets immediate human needs and reaction. Leadership has to contend with how the decision actually lands in daily life.</x:v>
      </x:c>
      <x:c r="H151" s="27" t="str">
        <x:v>The two functions operate inside the same event. Benefit and complication arrive together, so separating one from the other is difficult.</x:v>
      </x:c>
      <x:c r="I151" s="27" t="str">
        <x:v>The two fuse and intensify as they close in.</x:v>
      </x:c>
      <x:c r="J151" s="27" t="str">
        <x:v>The fused theme peaks and discharges.</x:v>
      </x:c>
      <x:c r="K151" s="27" t="str">
        <x:v>[runtime sign]</x:v>
      </x:c>
      <x:c r="L151" s="27" t="str">
        <x:v>[lookup Body|Sign]</x:v>
      </x:c>
      <x:c r="M151" s="27" t="str">
        <x:v>[runtime sign]</x:v>
      </x:c>
      <x:c r="N151" s="27" t="str">
        <x:v>[lookup Body|Sign]</x:v>
      </x:c>
      <x:c r="O151" s="27" t="str">
        <x:v>[runtime local datetime]</x:v>
      </x:c>
      <x:c r="P151" s="27" t="str">
        <x:v>[runtime orb]</x:v>
      </x:c>
      <x:c r="Q151" s="27" t="str">
        <x:v>[applying / exact / separating]</x:v>
      </x:c>
      <x:c r="R151" s="27" t="str">
        <x:v>[runtime flags]</x:v>
      </x:c>
      <x:c r="S151" s="27" t="str">
        <x:v>Write one integrated collective Sky Calendar forecast for Sun in [Planet A sign] conjunction Moon in [Planet B sign] at [calculated date/time]. Preserve this pair meaning: Official direction meets immediate human needs and reaction. Leadership has to contend with how the decision actually lands in daily life.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Moon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1" s="27" t="str">
        <x:v>A single deadline puts equal heat on the boss who set it and the team doing the work. Sun conjunct Moon can make the official direction and the human reaction to it part of the same story, especially when late nights, missed care, or unfinished tasks are the cost of keeping the date. The work may still get done. That does not mean the deadline was well planned. Count the hours and tradeoffs before repeating the same timeline next time.</x:v>
      </x:c>
      <x:c r="U151" s="27" t="str"/>
      <x:c r="V151" s="27" t="str">
        <x:v>READY FOR RUNTIME</x:v>
      </x:c>
    </x:row>
    <x:row r="152">
      <x:c r="A152" s="27" t="n">
        <x:v>151</x:v>
      </x:c>
      <x:c r="B152" s="27" t="str">
        <x:v>sky.sun.opposition.moon</x:v>
      </x:c>
      <x:c r="C152" s="27" t="str">
        <x:v>sun</x:v>
      </x:c>
      <x:c r="D152" s="27" t="str">
        <x:v>opposition</x:v>
      </x:c>
      <x:c r="E152" s="27" t="str">
        <x:v>moon</x:v>
      </x:c>
      <x:c r="F152" s="27" t="str">
        <x:v>sun|moon</x:v>
      </x:c>
      <x:c r="G152" s="27" t="str">
        <x:v>Official direction meets immediate human needs and reaction. Leadership has to contend with how the decision actually lands in daily life.</x:v>
      </x:c>
      <x:c r="H152" s="27" t="str">
        <x:v>Two needs or positions face each other directly through different people, roles, institutions, or requirements. The tradeoff has to become explicit.</x:v>
      </x:c>
      <x:c r="I152" s="27" t="str">
        <x:v>A confrontation builds; the other side comes fully into view.</x:v>
      </x:c>
      <x:c r="J152" s="27" t="str">
        <x:v>The standoff resolves into balance or a split.</x:v>
      </x:c>
      <x:c r="K152" s="27" t="str">
        <x:v>[runtime sign]</x:v>
      </x:c>
      <x:c r="L152" s="27" t="str">
        <x:v>[lookup Body|Sign]</x:v>
      </x:c>
      <x:c r="M152" s="27" t="str">
        <x:v>[runtime sign]</x:v>
      </x:c>
      <x:c r="N152" s="27" t="str">
        <x:v>[lookup Body|Sign]</x:v>
      </x:c>
      <x:c r="O152" s="27" t="str">
        <x:v>[runtime local datetime]</x:v>
      </x:c>
      <x:c r="P152" s="27" t="str">
        <x:v>[runtime orb]</x:v>
      </x:c>
      <x:c r="Q152" s="27" t="str">
        <x:v>[applying / exact / separating]</x:v>
      </x:c>
      <x:c r="R152" s="27" t="str">
        <x:v>[runtime flags]</x:v>
      </x:c>
      <x:c r="S152" s="27" t="str">
        <x:v>Write one integrated collective Sky Calendar forecast for Sun in [Planet A sign] opposition Moon in [Planet B sign] at [calculated date/time]. Preserve this pair meaning: Official direction meets immediate human needs and reaction. Leadership has to contend with how the decision actually lands in daily life.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Moon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2" s="27" t="str">
        <x:v>Leadership may call a change necessary while the people living with it are losing pay, childcare, transportation, or the routine that made the old plan workable. The opposition between the Sun and Moon can put the official decision directly across from its human cost, making it difficult to keep one version of the story in charge. A budget can explain why the policy changed without answering who is expected to absorb the disruption. Put that cost into the decision before calling the plan complete. If the same people are always asked to adjust, the compromise is not evenly shared.</x:v>
      </x:c>
      <x:c r="U152" s="27" t="str"/>
      <x:c r="V152" s="27" t="str">
        <x:v>READY FOR RUNTIME</x:v>
      </x:c>
    </x:row>
    <x:row r="153">
      <x:c r="A153" s="27" t="n">
        <x:v>152</x:v>
      </x:c>
      <x:c r="B153" s="27" t="str">
        <x:v>sky.sun.square.moon</x:v>
      </x:c>
      <x:c r="C153" s="27" t="str">
        <x:v>sun</x:v>
      </x:c>
      <x:c r="D153" s="27" t="str">
        <x:v>square</x:v>
      </x:c>
      <x:c r="E153" s="27" t="str">
        <x:v>moon</x:v>
      </x:c>
      <x:c r="F153" s="27" t="str">
        <x:v>sun|moon</x:v>
      </x:c>
      <x:c r="G153" s="27" t="str">
        <x:v>Official direction meets immediate human needs and reaction. Leadership has to contend with how the decision actually lands in daily life.</x:v>
      </x:c>
      <x:c r="H153" s="27" t="str">
        <x:v>Friction makes the problem difficult to keep absorbing. Pressure repeats or escalates until the plan, rule, behavior, or distribution of responsibility changes.</x:v>
      </x:c>
      <x:c r="I153" s="27" t="str">
        <x:v>Friction builds toward a forced adjustment.</x:v>
      </x:c>
      <x:c r="J153" s="27" t="str">
        <x:v>The crisis passes; what was restructured settles.</x:v>
      </x:c>
      <x:c r="K153" s="27" t="str">
        <x:v>[runtime sign]</x:v>
      </x:c>
      <x:c r="L153" s="27" t="str">
        <x:v>[lookup Body|Sign]</x:v>
      </x:c>
      <x:c r="M153" s="27" t="str">
        <x:v>[runtime sign]</x:v>
      </x:c>
      <x:c r="N153" s="27" t="str">
        <x:v>[lookup Body|Sign]</x:v>
      </x:c>
      <x:c r="O153" s="27" t="str">
        <x:v>[runtime local datetime]</x:v>
      </x:c>
      <x:c r="P153" s="27" t="str">
        <x:v>[runtime orb]</x:v>
      </x:c>
      <x:c r="Q153" s="27" t="str">
        <x:v>[applying / exact / separating]</x:v>
      </x:c>
      <x:c r="R153" s="27" t="str">
        <x:v>[runtime flags]</x:v>
      </x:c>
      <x:c r="S153" s="27" t="str">
        <x:v>Write one integrated collective Sky Calendar forecast for Sun in [Planet A sign] square Moon in [Planet B sign] at [calculated date/time]. Preserve this pair meaning: Official direction meets immediate human needs and reaction. Leadership has to contend with how the decision actually lands in daily life.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Moon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3" s="27" t="str">
        <x:v>The email goes out before the meeting, and everyone starts rearranging care, transportation, and work before leadership has explained what changed. Sun square Moon can turn a decision made at the top into immediate disruption for the people expected to live with it. The policy may survive the pushback, but trust will not recover just because the calendar does. Explain the change before asking people to reorganize their day around it. If there is no way to avoid the disruption, give people enough time and information to plan for the part that lands on them.</x:v>
      </x:c>
      <x:c r="U153" s="27" t="str"/>
      <x:c r="V153" s="27" t="str">
        <x:v>READY FOR RUNTIME</x:v>
      </x:c>
    </x:row>
    <x:row r="154">
      <x:c r="A154" s="27" t="n">
        <x:v>153</x:v>
      </x:c>
      <x:c r="B154" s="27" t="str">
        <x:v>sky.sun.trine.moon</x:v>
      </x:c>
      <x:c r="C154" s="27" t="str">
        <x:v>sun</x:v>
      </x:c>
      <x:c r="D154" s="27" t="str">
        <x:v>trine</x:v>
      </x:c>
      <x:c r="E154" s="27" t="str">
        <x:v>moon</x:v>
      </x:c>
      <x:c r="F154" s="27" t="str">
        <x:v>sun|moon</x:v>
      </x:c>
      <x:c r="G154" s="27" t="str">
        <x:v>Official direction meets immediate human needs and reaction. Leadership has to contend with how the decision actually lands in daily life.</x:v>
      </x:c>
      <x:c r="H154" s="27" t="str">
        <x:v>The two functions support each other easily. Momentum is available with less resistance, which helps progress but can let a weak assumption travel farther.</x:v>
      </x:c>
      <x:c r="I154" s="27" t="str">
        <x:v>Ease and support build and arrive on their own.</x:v>
      </x:c>
      <x:c r="J154" s="27" t="str">
        <x:v>The ease withdraws; the flow passes, used or not.</x:v>
      </x:c>
      <x:c r="K154" s="27" t="str">
        <x:v>[runtime sign]</x:v>
      </x:c>
      <x:c r="L154" s="27" t="str">
        <x:v>[lookup Body|Sign]</x:v>
      </x:c>
      <x:c r="M154" s="27" t="str">
        <x:v>[runtime sign]</x:v>
      </x:c>
      <x:c r="N154" s="27" t="str">
        <x:v>[lookup Body|Sign]</x:v>
      </x:c>
      <x:c r="O154" s="27" t="str">
        <x:v>[runtime local datetime]</x:v>
      </x:c>
      <x:c r="P154" s="27" t="str">
        <x:v>[runtime orb]</x:v>
      </x:c>
      <x:c r="Q154" s="27" t="str">
        <x:v>[applying / exact / separating]</x:v>
      </x:c>
      <x:c r="R154" s="27" t="str">
        <x:v>[runtime flags]</x:v>
      </x:c>
      <x:c r="S154" s="27" t="str">
        <x:v>Write one integrated collective Sky Calendar forecast for Sun in [Planet A sign] trine Moon in [Planet B sign] at [calculated date/time]. Preserve this pair meaning: Official direction meets immediate human needs and reaction. Leadership has to contend with how the decision actually lands in daily life.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Moon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4" s="27" t="str">
        <x:v>A difficult change is easier to absorb when the explanation arrives with the details people need to plan around it. Sun trine Moon can help leadership and the people affected by a decision move in the same direction because the practical consequences are included from the beginning. Revised hours, direct contacts, childcare, or another small accommodation can prevent a reasonable change from becoming an unnecessary mess. Say what is changing, why it is changing, and what support is already in place. People do not have to like the decision to understand what happens next.</x:v>
      </x:c>
      <x:c r="U154" s="27" t="str"/>
      <x:c r="V154" s="27" t="str">
        <x:v>READY FOR RUNTIME</x:v>
      </x:c>
    </x:row>
    <x:row r="155">
      <x:c r="A155" s="27" t="n">
        <x:v>154</x:v>
      </x:c>
      <x:c r="B155" s="27" t="str">
        <x:v>sky.sun.sextile.moon</x:v>
      </x:c>
      <x:c r="C155" s="27" t="str">
        <x:v>sun</x:v>
      </x:c>
      <x:c r="D155" s="27" t="str">
        <x:v>sextile</x:v>
      </x:c>
      <x:c r="E155" s="27" t="str">
        <x:v>moon</x:v>
      </x:c>
      <x:c r="F155" s="27" t="str">
        <x:v>sun|moon</x:v>
      </x:c>
      <x:c r="G155" s="27" t="str">
        <x:v>Official direction meets immediate human needs and reaction. Leadership has to contend with how the decision actually lands in daily life.</x:v>
      </x:c>
      <x:c r="H155" s="27" t="str">
        <x:v>A workable opening appears between the two functions. The opportunity is useful but not automatic; someone still has to notice it and make the specific move.</x:v>
      </x:c>
      <x:c r="I155" s="27" t="str">
        <x:v>A supportive opening becomes available; offered, not automatic.</x:v>
      </x:c>
      <x:c r="J155" s="27" t="str">
        <x:v>The opening closes; unused, it passes.</x:v>
      </x:c>
      <x:c r="K155" s="27" t="str">
        <x:v>[runtime sign]</x:v>
      </x:c>
      <x:c r="L155" s="27" t="str">
        <x:v>[lookup Body|Sign]</x:v>
      </x:c>
      <x:c r="M155" s="27" t="str">
        <x:v>[runtime sign]</x:v>
      </x:c>
      <x:c r="N155" s="27" t="str">
        <x:v>[lookup Body|Sign]</x:v>
      </x:c>
      <x:c r="O155" s="27" t="str">
        <x:v>[runtime local datetime]</x:v>
      </x:c>
      <x:c r="P155" s="27" t="str">
        <x:v>[runtime orb]</x:v>
      </x:c>
      <x:c r="Q155" s="27" t="str">
        <x:v>[applying / exact / separating]</x:v>
      </x:c>
      <x:c r="R155" s="27" t="str">
        <x:v>[runtime flags]</x:v>
      </x:c>
      <x:c r="S155" s="27" t="str">
        <x:v>Write one integrated collective Sky Calendar forecast for Sun in [Planet A sign] sextile Moon in [Planet B sign] at [calculated date/time]. Preserve this pair meaning: Official direction meets immediate human needs and reaction. Leadership has to contend with how the decision actually lands in daily life.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Moon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5" s="27" t="str">
        <x:v>A policy change is announced early enough for someone to catch the detail that would have created a much bigger problem later. The sextile between the Sun and Moon can create room for an official decision to adjust to the people who actually have to live with it. A grace period, transit option, childcare plan, or revised start date may be enough to keep one rule from derailing an entire week. Use the lead time. Ask who will have to rearrange the most before the policy is locked, then fix the preventable problem while the plan can still move.</x:v>
      </x:c>
      <x:c r="U155" s="27" t="str"/>
      <x:c r="V155" s="27" t="str">
        <x:v>READY FOR RUNTIME</x:v>
      </x:c>
    </x:row>
    <x:row r="156">
      <x:c r="A156" s="27" t="n">
        <x:v>155</x:v>
      </x:c>
      <x:c r="B156" s="27" t="str">
        <x:v>sky.sun.conjunction.neptune</x:v>
      </x:c>
      <x:c r="C156" s="27" t="str">
        <x:v>sun</x:v>
      </x:c>
      <x:c r="D156" s="27" t="str">
        <x:v>conjunction</x:v>
      </x:c>
      <x:c r="E156" s="27" t="str">
        <x:v>neptune</x:v>
      </x:c>
      <x:c r="F156" s="27" t="str">
        <x:v>sun|neptune</x:v>
      </x:c>
      <x:c r="G156" s="27" t="str">
        <x:v>Leadership and visibility meet ideal, image, and ambiguity. Authority can inspire people or make it harder to see what is actually being promised.</x:v>
      </x:c>
      <x:c r="H156" s="27" t="str">
        <x:v>The two functions operate inside the same event. Benefit and complication arrive together, so separating one from the other is difficult.</x:v>
      </x:c>
      <x:c r="I156" s="27" t="str">
        <x:v>The two fuse and intensify as they close in.</x:v>
      </x:c>
      <x:c r="J156" s="27" t="str">
        <x:v>The fused theme peaks and discharges.</x:v>
      </x:c>
      <x:c r="K156" s="27" t="str">
        <x:v>[runtime sign]</x:v>
      </x:c>
      <x:c r="L156" s="27" t="str">
        <x:v>[lookup Body|Sign]</x:v>
      </x:c>
      <x:c r="M156" s="27" t="str">
        <x:v>[runtime sign]</x:v>
      </x:c>
      <x:c r="N156" s="27" t="str">
        <x:v>[lookup Body|Sign]</x:v>
      </x:c>
      <x:c r="O156" s="27" t="str">
        <x:v>[runtime local datetime]</x:v>
      </x:c>
      <x:c r="P156" s="27" t="str">
        <x:v>[runtime orb]</x:v>
      </x:c>
      <x:c r="Q156" s="27" t="str">
        <x:v>[applying / exact / separating]</x:v>
      </x:c>
      <x:c r="R156" s="27" t="str">
        <x:v>[runtime flags]</x:v>
      </x:c>
      <x:c r="S156" s="27" t="str">
        <x:v>Write one integrated collective Sky Calendar forecast for Sun in [Planet A sign] conjunction Neptune in [Planet B sign] at [calculated date/time]. Preserve this pair meaning: Leadership and visibility meet ideal, image, and ambiguity. Authority can inspire people or make it harder to see what is actually being promised.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6" s="27" t="str">
        <x:v>A founder, candidate, or public figure can become the answer to needs no one person could realistically satisfy. Sun conjunct Neptune can blur the line between who someone is and what supporters hope they represent, especially when rescue, healing, creativity, or moral certainty has been projected onto the role. The devotion may be sincere, but it becomes fragile when ordinary mistakes are treated like betrayal. Keep the person separate from the promise. Judge the work by what is actually delivered, not by how much hope the public figure has come to carry for everyone else.</x:v>
      </x:c>
      <x:c r="U156" s="27" t="str"/>
      <x:c r="V156" s="27" t="str">
        <x:v>READY FOR RUNTIME</x:v>
      </x:c>
    </x:row>
    <x:row r="157">
      <x:c r="A157" s="27" t="n">
        <x:v>156</x:v>
      </x:c>
      <x:c r="B157" s="27" t="str">
        <x:v>sky.sun.opposition.neptune</x:v>
      </x:c>
      <x:c r="C157" s="27" t="str">
        <x:v>sun</x:v>
      </x:c>
      <x:c r="D157" s="27" t="str">
        <x:v>opposition</x:v>
      </x:c>
      <x:c r="E157" s="27" t="str">
        <x:v>neptune</x:v>
      </x:c>
      <x:c r="F157" s="27" t="str">
        <x:v>sun|neptune</x:v>
      </x:c>
      <x:c r="G157" s="27" t="str">
        <x:v>Leadership and visibility meet ideal, image, and ambiguity. Authority can inspire people or make it harder to see what is actually being promised.</x:v>
      </x:c>
      <x:c r="H157" s="27" t="str">
        <x:v>Two needs or positions face each other directly through different people, roles, institutions, or requirements. The tradeoff has to become explicit.</x:v>
      </x:c>
      <x:c r="I157" s="27" t="str">
        <x:v>A confrontation builds; the other side comes fully into view.</x:v>
      </x:c>
      <x:c r="J157" s="27" t="str">
        <x:v>The standoff resolves into balance or a split.</x:v>
      </x:c>
      <x:c r="K157" s="27" t="str">
        <x:v>[runtime sign]</x:v>
      </x:c>
      <x:c r="L157" s="27" t="str">
        <x:v>[lookup Body|Sign]</x:v>
      </x:c>
      <x:c r="M157" s="27" t="str">
        <x:v>[runtime sign]</x:v>
      </x:c>
      <x:c r="N157" s="27" t="str">
        <x:v>[lookup Body|Sign]</x:v>
      </x:c>
      <x:c r="O157" s="27" t="str">
        <x:v>[runtime local datetime]</x:v>
      </x:c>
      <x:c r="P157" s="27" t="str">
        <x:v>[runtime orb]</x:v>
      </x:c>
      <x:c r="Q157" s="27" t="str">
        <x:v>[applying / exact / separating]</x:v>
      </x:c>
      <x:c r="R157" s="27" t="str">
        <x:v>[runtime flags]</x:v>
      </x:c>
      <x:c r="S157" s="27" t="str">
        <x:v>Write one integrated collective Sky Calendar forecast for Sun in [Planet A sign] opposition Neptune in [Planet B sign] at [calculated date/time]. Preserve this pair meaning: Leadership and visibility meet ideal, image, and ambiguity. Authority can inspire people or make it harder to see what is actually being promised.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7" s="27" t="str">
        <x:v>The leader onstage describes a rescue while the staff doing the work are still asking where the money, people, and measurable end point are. Sun opposite Neptune can put an inspiring public story directly against the practical confusion underneath it. Both sides may believe in the cause. The problem is that belief does not tell anyone what was promised or who is responsible for delivering it. Compare the speech with the budget, staffing, and timeline. If those documents describe a smaller plan, the public promise needs to get smaller too.</x:v>
      </x:c>
      <x:c r="U157" s="27" t="str"/>
      <x:c r="V157" s="27" t="str">
        <x:v>READY FOR RUNTIME</x:v>
      </x:c>
    </x:row>
    <x:row r="158">
      <x:c r="A158" s="27" t="n">
        <x:v>157</x:v>
      </x:c>
      <x:c r="B158" s="27" t="str">
        <x:v>sky.sun.square.neptune</x:v>
      </x:c>
      <x:c r="C158" s="27" t="str">
        <x:v>sun</x:v>
      </x:c>
      <x:c r="D158" s="27" t="str">
        <x:v>square</x:v>
      </x:c>
      <x:c r="E158" s="27" t="str">
        <x:v>neptune</x:v>
      </x:c>
      <x:c r="F158" s="27" t="str">
        <x:v>sun|neptune</x:v>
      </x:c>
      <x:c r="G158" s="27" t="str">
        <x:v>Leadership and visibility meet ideal, image, and ambiguity. Authority can inspire people or make it harder to see what is actually being promised.</x:v>
      </x:c>
      <x:c r="H158" s="27" t="str">
        <x:v>Friction makes the problem difficult to keep absorbing. Pressure repeats or escalates until the plan, rule, behavior, or distribution of responsibility changes.</x:v>
      </x:c>
      <x:c r="I158" s="27" t="str">
        <x:v>Friction builds toward a forced adjustment.</x:v>
      </x:c>
      <x:c r="J158" s="27" t="str">
        <x:v>The crisis passes; what was restructured settles.</x:v>
      </x:c>
      <x:c r="K158" s="27" t="str">
        <x:v>[runtime sign]</x:v>
      </x:c>
      <x:c r="L158" s="27" t="str">
        <x:v>[lookup Body|Sign]</x:v>
      </x:c>
      <x:c r="M158" s="27" t="str">
        <x:v>[runtime sign]</x:v>
      </x:c>
      <x:c r="N158" s="27" t="str">
        <x:v>[lookup Body|Sign]</x:v>
      </x:c>
      <x:c r="O158" s="27" t="str">
        <x:v>[runtime local datetime]</x:v>
      </x:c>
      <x:c r="P158" s="27" t="str">
        <x:v>[runtime orb]</x:v>
      </x:c>
      <x:c r="Q158" s="27" t="str">
        <x:v>[applying / exact / separating]</x:v>
      </x:c>
      <x:c r="R158" s="27" t="str">
        <x:v>[runtime flags]</x:v>
      </x:c>
      <x:c r="S158" s="27" t="str">
        <x:v>Write one integrated collective Sky Calendar forecast for Sun in [Planet A sign] square Neptune in [Planet B sign] at [calculated date/time]. Preserve this pair meaning: Leadership and visibility meet ideal, image, and ambiguity. Authority can inspire people or make it harder to see what is actually being promised.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8" s="27" t="str">
        <x:v>A polished pitch can win the room before anyone reads the numbers closely. Sun square Neptune can make the image of a person or project more convincing at the exact moment the missing details matter most, especially when a good story makes basic questions feel cynical. The weakness is usually ordinary: money that is not accounted for, results nobody has defined, or a promise that cannot be checked. Read the budget and the terms before voting on the vision. A compelling presentation should survive the same questions as an unglamorous one.</x:v>
      </x:c>
      <x:c r="U158" s="27" t="str"/>
      <x:c r="V158" s="27" t="str">
        <x:v>READY FOR RUNTIME</x:v>
      </x:c>
    </x:row>
    <x:row r="159">
      <x:c r="A159" s="27" t="n">
        <x:v>158</x:v>
      </x:c>
      <x:c r="B159" s="27" t="str">
        <x:v>sky.sun.trine.neptune</x:v>
      </x:c>
      <x:c r="C159" s="27" t="str">
        <x:v>sun</x:v>
      </x:c>
      <x:c r="D159" s="27" t="str">
        <x:v>trine</x:v>
      </x:c>
      <x:c r="E159" s="27" t="str">
        <x:v>neptune</x:v>
      </x:c>
      <x:c r="F159" s="27" t="str">
        <x:v>sun|neptune</x:v>
      </x:c>
      <x:c r="G159" s="27" t="str">
        <x:v>Leadership and visibility meet ideal, image, and ambiguity. Authority can inspire people or make it harder to see what is actually being promised.</x:v>
      </x:c>
      <x:c r="H159" s="27" t="str">
        <x:v>The two functions support each other easily. Momentum is available with less resistance, which helps progress but can let a weak assumption travel farther.</x:v>
      </x:c>
      <x:c r="I159" s="27" t="str">
        <x:v>Ease and support build and arrive on their own.</x:v>
      </x:c>
      <x:c r="J159" s="27" t="str">
        <x:v>The ease withdraws; the flow passes, used or not.</x:v>
      </x:c>
      <x:c r="K159" s="27" t="str">
        <x:v>[runtime sign]</x:v>
      </x:c>
      <x:c r="L159" s="27" t="str">
        <x:v>[lookup Body|Sign]</x:v>
      </x:c>
      <x:c r="M159" s="27" t="str">
        <x:v>[runtime sign]</x:v>
      </x:c>
      <x:c r="N159" s="27" t="str">
        <x:v>[lookup Body|Sign]</x:v>
      </x:c>
      <x:c r="O159" s="27" t="str">
        <x:v>[runtime local datetime]</x:v>
      </x:c>
      <x:c r="P159" s="27" t="str">
        <x:v>[runtime orb]</x:v>
      </x:c>
      <x:c r="Q159" s="27" t="str">
        <x:v>[applying / exact / separating]</x:v>
      </x:c>
      <x:c r="R159" s="27" t="str">
        <x:v>[runtime flags]</x:v>
      </x:c>
      <x:c r="S159" s="27" t="str">
        <x:v>Write one integrated collective Sky Calendar forecast for Sun in [Planet A sign] trine Neptune in [Planet B sign] at [calculated date/time]. Preserve this pair meaning: Leadership and visibility meet ideal, image, and ambiguity. Authority can inspire people or make it harder to see what is actually being promised.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59" s="27" t="str">
        <x:v>A memorial, film, benefit, or public statement may give a shared feeling exactly enough form for people to respond to it. Sun trine Neptune can help a visible person or project carry grief, compassion, or imagination without forcing the message into something colder than the experience itself. The strongest version does not need to exaggerate the pain. It gives people a place to put their attention, money, or support while keeping the people at the center human. Let the work be moving. Keep the facts, permissions, and purpose intact while it moves people.</x:v>
      </x:c>
      <x:c r="U159" s="27" t="str"/>
      <x:c r="V159" s="27" t="str">
        <x:v>READY FOR RUNTIME</x:v>
      </x:c>
    </x:row>
    <x:row r="160">
      <x:c r="A160" s="27" t="n">
        <x:v>159</x:v>
      </x:c>
      <x:c r="B160" s="27" t="str">
        <x:v>sky.sun.sextile.neptune</x:v>
      </x:c>
      <x:c r="C160" s="27" t="str">
        <x:v>sun</x:v>
      </x:c>
      <x:c r="D160" s="27" t="str">
        <x:v>sextile</x:v>
      </x:c>
      <x:c r="E160" s="27" t="str">
        <x:v>neptune</x:v>
      </x:c>
      <x:c r="F160" s="27" t="str">
        <x:v>sun|neptune</x:v>
      </x:c>
      <x:c r="G160" s="27" t="str">
        <x:v>Leadership and visibility meet ideal, image, and ambiguity. Authority can inspire people or make it harder to see what is actually being promised.</x:v>
      </x:c>
      <x:c r="H160" s="27" t="str">
        <x:v>A workable opening appears between the two functions. The opportunity is useful but not automatic; someone still has to notice it and make the specific move.</x:v>
      </x:c>
      <x:c r="I160" s="27" t="str">
        <x:v>A supportive opening becomes available; offered, not automatic.</x:v>
      </x:c>
      <x:c r="J160" s="27" t="str">
        <x:v>The opening closes; unused, it passes.</x:v>
      </x:c>
      <x:c r="K160" s="27" t="str">
        <x:v>[runtime sign]</x:v>
      </x:c>
      <x:c r="L160" s="27" t="str">
        <x:v>[lookup Body|Sign]</x:v>
      </x:c>
      <x:c r="M160" s="27" t="str">
        <x:v>[runtime sign]</x:v>
      </x:c>
      <x:c r="N160" s="27" t="str">
        <x:v>[lookup Body|Sign]</x:v>
      </x:c>
      <x:c r="O160" s="27" t="str">
        <x:v>[runtime local datetime]</x:v>
      </x:c>
      <x:c r="P160" s="27" t="str">
        <x:v>[runtime orb]</x:v>
      </x:c>
      <x:c r="Q160" s="27" t="str">
        <x:v>[applying / exact / separating]</x:v>
      </x:c>
      <x:c r="R160" s="27" t="str">
        <x:v>[runtime flags]</x:v>
      </x:c>
      <x:c r="S160" s="27" t="str">
        <x:v>Write one integrated collective Sky Calendar forecast for Sun in [Planet A sign] sextile Neptune in [Planet B sign] at [calculated date/time]. Preserve this pair meaning: Leadership and visibility meet ideal, image, and ambiguity. Authority can inspire people or make it harder to see what is actually being promised.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0" s="27" t="str">
        <x:v>A vague hope becomes a campaign people can actually support once it has a name, a budget, and somewhere for the money to go. Sun sextile Neptune can help a compassionate or creative idea find a public form without requiring the whole vision to be finished first. A donation link, first event, named organizer, or clear beneficiary may be enough to turn concern into useful participation. Make the first promise specific. People should know what they are contributing to, who is responsible for it, and what the first round of support is meant to accomplish.</x:v>
      </x:c>
      <x:c r="U160" s="27" t="str"/>
      <x:c r="V160" s="27" t="str">
        <x:v>READY FOR RUNTIME</x:v>
      </x:c>
    </x:row>
    <x:row r="161">
      <x:c r="A161" s="27" t="n">
        <x:v>160</x:v>
      </x:c>
      <x:c r="B161" s="27" t="str">
        <x:v>sky.sun.conjunction.pluto</x:v>
      </x:c>
      <x:c r="C161" s="27" t="str">
        <x:v>sun</x:v>
      </x:c>
      <x:c r="D161" s="27" t="str">
        <x:v>conjunction</x:v>
      </x:c>
      <x:c r="E161" s="27" t="str">
        <x:v>pluto</x:v>
      </x:c>
      <x:c r="F161" s="27" t="str">
        <x:v>sun|pluto</x:v>
      </x:c>
      <x:c r="G161" s="27" t="str">
        <x:v>Visible authority meets underlying power. Leadership confronts who controls access, resources, information, or the ability to override the decision.</x:v>
      </x:c>
      <x:c r="H161" s="27" t="str">
        <x:v>The two functions operate inside the same event. Benefit and complication arrive together, so separating one from the other is difficult.</x:v>
      </x:c>
      <x:c r="I161" s="27" t="str">
        <x:v>The two fuse and intensify as they close in.</x:v>
      </x:c>
      <x:c r="J161" s="27" t="str">
        <x:v>The fused theme peaks and discharges.</x:v>
      </x:c>
      <x:c r="K161" s="27" t="str">
        <x:v>[runtime sign]</x:v>
      </x:c>
      <x:c r="L161" s="27" t="str">
        <x:v>[lookup Body|Sign]</x:v>
      </x:c>
      <x:c r="M161" s="27" t="str">
        <x:v>[runtime sign]</x:v>
      </x:c>
      <x:c r="N161" s="27" t="str">
        <x:v>[lookup Body|Sign]</x:v>
      </x:c>
      <x:c r="O161" s="27" t="str">
        <x:v>[runtime local datetime]</x:v>
      </x:c>
      <x:c r="P161" s="27" t="str">
        <x:v>[runtime orb]</x:v>
      </x:c>
      <x:c r="Q161" s="27" t="str">
        <x:v>[applying / exact / separating]</x:v>
      </x:c>
      <x:c r="R161" s="27" t="str">
        <x:v>[runtime flags]</x:v>
      </x:c>
      <x:c r="S161" s="27" t="str">
        <x:v>Write one integrated collective Sky Calendar forecast for Sun in [Planet A sign] conjunction Pluto in [Planet B sign] at [calculated date/time]. Preserve this pair meaning: Visible authority meets underlying power. Leadership confronts who controls access, resources, information, or the ability to override the decision.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1" s="27" t="str">
        <x:v>One signature can move the budget, the public story, and the decision-making power at the same time. Sun conjunct Pluto can concentrate visible authority and the leverage behind it in the same hands, which makes a merger, succession, election, or takeover feel decisive very quickly. The question is what becomes harder to challenge once the change is complete. Follow the title to the money, records, and access that come with it. If one person can make the decision and control the information used to review it, the new structure needs more oversight, not less.</x:v>
      </x:c>
      <x:c r="U161" s="27" t="str"/>
      <x:c r="V161" s="27" t="str">
        <x:v>READY FOR RUNTIME</x:v>
      </x:c>
    </x:row>
    <x:row r="162">
      <x:c r="A162" s="27" t="n">
        <x:v>161</x:v>
      </x:c>
      <x:c r="B162" s="27" t="str">
        <x:v>sky.sun.opposition.pluto</x:v>
      </x:c>
      <x:c r="C162" s="27" t="str">
        <x:v>sun</x:v>
      </x:c>
      <x:c r="D162" s="27" t="str">
        <x:v>opposition</x:v>
      </x:c>
      <x:c r="E162" s="27" t="str">
        <x:v>pluto</x:v>
      </x:c>
      <x:c r="F162" s="27" t="str">
        <x:v>sun|pluto</x:v>
      </x:c>
      <x:c r="G162" s="27" t="str">
        <x:v>Visible authority meets underlying power. Leadership confronts who controls access, resources, information, or the ability to override the decision.</x:v>
      </x:c>
      <x:c r="H162" s="27" t="str">
        <x:v>Two needs or positions face each other directly through different people, roles, institutions, or requirements. The tradeoff has to become explicit.</x:v>
      </x:c>
      <x:c r="I162" s="27" t="str">
        <x:v>A confrontation builds; the other side comes fully into view.</x:v>
      </x:c>
      <x:c r="J162" s="27" t="str">
        <x:v>The standoff resolves into balance or a split.</x:v>
      </x:c>
      <x:c r="K162" s="27" t="str">
        <x:v>[runtime sign]</x:v>
      </x:c>
      <x:c r="L162" s="27" t="str">
        <x:v>[lookup Body|Sign]</x:v>
      </x:c>
      <x:c r="M162" s="27" t="str">
        <x:v>[runtime sign]</x:v>
      </x:c>
      <x:c r="N162" s="27" t="str">
        <x:v>[lookup Body|Sign]</x:v>
      </x:c>
      <x:c r="O162" s="27" t="str">
        <x:v>[runtime local datetime]</x:v>
      </x:c>
      <x:c r="P162" s="27" t="str">
        <x:v>[runtime orb]</x:v>
      </x:c>
      <x:c r="Q162" s="27" t="str">
        <x:v>[applying / exact / separating]</x:v>
      </x:c>
      <x:c r="R162" s="27" t="str">
        <x:v>[runtime flags]</x:v>
      </x:c>
      <x:c r="S162" s="27" t="str">
        <x:v>Write one integrated collective Sky Calendar forecast for Sun in [Planet A sign] opposition Pluto in [Planet B sign] at [calculated date/time]. Preserve this pair meaning: Visible authority meets underlying power. Leadership confronts who controls access, resources, information, or the ability to override the decision.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2" s="27" t="str">
        <x:v>The person with the title may discover that someone else still controls the money, records, or access required to make the title matter. Sun opposite Pluto can expose the difference between public authority and private leverage when one side can announce the decision and the other can quietly delay or disable it. That is not a personality clash. It is a problem in how power is divided. Put the decision rights on paper. If the person responsible for the outcome cannot access the resources needed to act, fix the structure before blaming either side for the stalemate.</x:v>
      </x:c>
      <x:c r="U162" s="27" t="str"/>
      <x:c r="V162" s="27" t="str">
        <x:v>READY FOR RUNTIME</x:v>
      </x:c>
    </x:row>
    <x:row r="163">
      <x:c r="A163" s="27" t="n">
        <x:v>162</x:v>
      </x:c>
      <x:c r="B163" s="27" t="str">
        <x:v>sky.sun.square.pluto</x:v>
      </x:c>
      <x:c r="C163" s="27" t="str">
        <x:v>sun</x:v>
      </x:c>
      <x:c r="D163" s="27" t="str">
        <x:v>square</x:v>
      </x:c>
      <x:c r="E163" s="27" t="str">
        <x:v>pluto</x:v>
      </x:c>
      <x:c r="F163" s="27" t="str">
        <x:v>sun|pluto</x:v>
      </x:c>
      <x:c r="G163" s="27" t="str">
        <x:v>Visible authority meets underlying power. Leadership confronts who controls access, resources, information, or the ability to override the decision.</x:v>
      </x:c>
      <x:c r="H163" s="27" t="str">
        <x:v>Friction makes the problem difficult to keep absorbing. Pressure repeats or escalates until the plan, rule, behavior, or distribution of responsibility changes.</x:v>
      </x:c>
      <x:c r="I163" s="27" t="str">
        <x:v>Friction builds toward a forced adjustment.</x:v>
      </x:c>
      <x:c r="J163" s="27" t="str">
        <x:v>The crisis passes; what was restructured settles.</x:v>
      </x:c>
      <x:c r="K163" s="27" t="str">
        <x:v>[runtime sign]</x:v>
      </x:c>
      <x:c r="L163" s="27" t="str">
        <x:v>[lookup Body|Sign]</x:v>
      </x:c>
      <x:c r="M163" s="27" t="str">
        <x:v>[runtime sign]</x:v>
      </x:c>
      <x:c r="N163" s="27" t="str">
        <x:v>[lookup Body|Sign]</x:v>
      </x:c>
      <x:c r="O163" s="27" t="str">
        <x:v>[runtime local datetime]</x:v>
      </x:c>
      <x:c r="P163" s="27" t="str">
        <x:v>[runtime orb]</x:v>
      </x:c>
      <x:c r="Q163" s="27" t="str">
        <x:v>[applying / exact / separating]</x:v>
      </x:c>
      <x:c r="R163" s="27" t="str">
        <x:v>[runtime flags]</x:v>
      </x:c>
      <x:c r="S163" s="27" t="str">
        <x:v>Write one integrated collective Sky Calendar forecast for Sun in [Planet A sign] square Pluto in [Planet B sign] at [calculated date/time]. Preserve this pair meaning: Visible authority meets underlying power. Leadership confronts who controls access, resources, information, or the ability to override the decision.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3" s="27" t="str">
        <x:v>Two versions of the same decision circulate, each edited to protect its author and make the other side look responsible. Sun square Pluto can turn a dispute over credit or leadership into a fight over the record itself, especially when private access lets someone remove context, withhold documents, or decide which account looks official. A public argument cannot repair a missing paper trail. Preserve the emails, approvals, dates, and original files. When control of the story has become part of the conflict, the record needs to exist somewhere neither side can quietly rewrite it.</x:v>
      </x:c>
      <x:c r="U163" s="27" t="str"/>
      <x:c r="V163" s="27" t="str">
        <x:v>READY FOR RUNTIME</x:v>
      </x:c>
    </x:row>
    <x:row r="164">
      <x:c r="A164" s="27" t="n">
        <x:v>163</x:v>
      </x:c>
      <x:c r="B164" s="27" t="str">
        <x:v>sky.sun.trine.pluto</x:v>
      </x:c>
      <x:c r="C164" s="27" t="str">
        <x:v>sun</x:v>
      </x:c>
      <x:c r="D164" s="27" t="str">
        <x:v>trine</x:v>
      </x:c>
      <x:c r="E164" s="27" t="str">
        <x:v>pluto</x:v>
      </x:c>
      <x:c r="F164" s="27" t="str">
        <x:v>sun|pluto</x:v>
      </x:c>
      <x:c r="G164" s="27" t="str">
        <x:v>Visible authority meets underlying power. Leadership confronts who controls access, resources, information, or the ability to override the decision.</x:v>
      </x:c>
      <x:c r="H164" s="27" t="str">
        <x:v>The two functions support each other easily. Momentum is available with less resistance, which helps progress but can let a weak assumption travel farther.</x:v>
      </x:c>
      <x:c r="I164" s="27" t="str">
        <x:v>Ease and support build and arrive on their own.</x:v>
      </x:c>
      <x:c r="J164" s="27" t="str">
        <x:v>The ease withdraws; the flow passes, used or not.</x:v>
      </x:c>
      <x:c r="K164" s="27" t="str">
        <x:v>[runtime sign]</x:v>
      </x:c>
      <x:c r="L164" s="27" t="str">
        <x:v>[lookup Body|Sign]</x:v>
      </x:c>
      <x:c r="M164" s="27" t="str">
        <x:v>[runtime sign]</x:v>
      </x:c>
      <x:c r="N164" s="27" t="str">
        <x:v>[lookup Body|Sign]</x:v>
      </x:c>
      <x:c r="O164" s="27" t="str">
        <x:v>[runtime local datetime]</x:v>
      </x:c>
      <x:c r="P164" s="27" t="str">
        <x:v>[runtime orb]</x:v>
      </x:c>
      <x:c r="Q164" s="27" t="str">
        <x:v>[applying / exact / separating]</x:v>
      </x:c>
      <x:c r="R164" s="27" t="str">
        <x:v>[runtime flags]</x:v>
      </x:c>
      <x:c r="S164" s="27" t="str">
        <x:v>Write one integrated collective Sky Calendar forecast for Sun in [Planet A sign] trine Pluto in [Planet B sign] at [calculated date/time]. Preserve this pair meaning: Visible authority meets underlying power. Leadership confronts who controls access, resources, information, or the ability to override the decision.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4" s="27" t="str">
        <x:v>A transfer of authority works better when the budget, access, conflicts, and review process move with the title instead of being negotiated afterward. Sun trine Pluto can make leadership and deeper structural power support the same transition, which gives the new person enough leverage to do the job while making that leverage visible. Open the records and disclose the conflicts before the handoff is finished. The transition gains credibility when nobody has to pretend the title is separate from the money and control attached to it.</x:v>
      </x:c>
      <x:c r="U164" s="27" t="str"/>
      <x:c r="V164" s="27" t="str">
        <x:v>READY FOR RUNTIME</x:v>
      </x:c>
    </x:row>
    <x:row r="165">
      <x:c r="A165" s="27" t="n">
        <x:v>164</x:v>
      </x:c>
      <x:c r="B165" s="27" t="str">
        <x:v>sky.sun.sextile.pluto</x:v>
      </x:c>
      <x:c r="C165" s="27" t="str">
        <x:v>sun</x:v>
      </x:c>
      <x:c r="D165" s="27" t="str">
        <x:v>sextile</x:v>
      </x:c>
      <x:c r="E165" s="27" t="str">
        <x:v>pluto</x:v>
      </x:c>
      <x:c r="F165" s="27" t="str">
        <x:v>sun|pluto</x:v>
      </x:c>
      <x:c r="G165" s="27" t="str">
        <x:v>Visible authority meets underlying power. Leadership confronts who controls access, resources, information, or the ability to override the decision.</x:v>
      </x:c>
      <x:c r="H165" s="27" t="str">
        <x:v>A workable opening appears between the two functions. The opportunity is useful but not automatic; someone still has to notice it and make the specific move.</x:v>
      </x:c>
      <x:c r="I165" s="27" t="str">
        <x:v>A supportive opening becomes available; offered, not automatic.</x:v>
      </x:c>
      <x:c r="J165" s="27" t="str">
        <x:v>The opening closes; unused, it passes.</x:v>
      </x:c>
      <x:c r="K165" s="27" t="str">
        <x:v>[runtime sign]</x:v>
      </x:c>
      <x:c r="L165" s="27" t="str">
        <x:v>[lookup Body|Sign]</x:v>
      </x:c>
      <x:c r="M165" s="27" t="str">
        <x:v>[runtime sign]</x:v>
      </x:c>
      <x:c r="N165" s="27" t="str">
        <x:v>[lookup Body|Sign]</x:v>
      </x:c>
      <x:c r="O165" s="27" t="str">
        <x:v>[runtime local datetime]</x:v>
      </x:c>
      <x:c r="P165" s="27" t="str">
        <x:v>[runtime orb]</x:v>
      </x:c>
      <x:c r="Q165" s="27" t="str">
        <x:v>[applying / exact / separating]</x:v>
      </x:c>
      <x:c r="R165" s="27" t="str">
        <x:v>[runtime flags]</x:v>
      </x:c>
      <x:c r="S165" s="27" t="str">
        <x:v>Write one integrated collective Sky Calendar forecast for Sun in [Planet A sign] sextile Pluto in [Planet B sign] at [calculated date/time]. Preserve this pair meaning: Visible authority meets underlying power. Leadership confronts who controls access, resources, information, or the ability to override the decision.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5" s="27" t="str">
        <x:v>One meeting may be enough to expose who has sign-off power and who is expected to absorb the consequences of the decision. Sun sextile Pluto can create an opening for an audit request, disclosure, or contract review to reach the part of the system where authority actually sits. Use the meeting for more than acknowledgment. Name who can approve the change, who controls the records or money, and what happens if the same problem returns. Accountability becomes useful when the next decision is harder to hide behind an unclear chain of command.</x:v>
      </x:c>
      <x:c r="U165" s="27" t="str"/>
      <x:c r="V165" s="27" t="str">
        <x:v>READY FOR RUNTIME</x:v>
      </x:c>
    </x:row>
    <x:row r="166">
      <x:c r="A166" s="27" t="n">
        <x:v>165</x:v>
      </x:c>
      <x:c r="B166" s="27" t="str">
        <x:v>sky.sun.conjunction.saturn</x:v>
      </x:c>
      <x:c r="C166" s="27" t="str">
        <x:v>sun</x:v>
      </x:c>
      <x:c r="D166" s="27" t="str">
        <x:v>conjunction</x:v>
      </x:c>
      <x:c r="E166" s="27" t="str">
        <x:v>saturn</x:v>
      </x:c>
      <x:c r="F166" s="27" t="str">
        <x:v>sun|saturn</x:v>
      </x:c>
      <x:c r="G166" s="27" t="str">
        <x:v>Authority meets duty, limits, and consequence. Recognition and responsibility become inseparable parts of the same role.</x:v>
      </x:c>
      <x:c r="H166" s="27" t="str">
        <x:v>The two functions operate inside the same event. Benefit and complication arrive together, so separating one from the other is difficult.</x:v>
      </x:c>
      <x:c r="I166" s="27" t="str">
        <x:v>The two fuse and intensify as they close in.</x:v>
      </x:c>
      <x:c r="J166" s="27" t="str">
        <x:v>The fused theme peaks and discharges.</x:v>
      </x:c>
      <x:c r="K166" s="27" t="str">
        <x:v>[runtime sign]</x:v>
      </x:c>
      <x:c r="L166" s="27" t="str">
        <x:v>[lookup Body|Sign]</x:v>
      </x:c>
      <x:c r="M166" s="27" t="str">
        <x:v>[runtime sign]</x:v>
      </x:c>
      <x:c r="N166" s="27" t="str">
        <x:v>[lookup Body|Sign]</x:v>
      </x:c>
      <x:c r="O166" s="27" t="str">
        <x:v>[runtime local datetime]</x:v>
      </x:c>
      <x:c r="P166" s="27" t="str">
        <x:v>[runtime orb]</x:v>
      </x:c>
      <x:c r="Q166" s="27" t="str">
        <x:v>[applying / exact / separating]</x:v>
      </x:c>
      <x:c r="R166" s="27" t="str">
        <x:v>[runtime flags]</x:v>
      </x:c>
      <x:c r="S166" s="27" t="str">
        <x:v>Write one integrated collective Sky Calendar forecast for Sun in [Planet A sign] conjunction Saturn in [Planet B sign] at [calculated date/time]. Preserve this pair meaning: Authority meets duty, limits, and consequence. Recognition and responsibility become inseparable parts of the same role.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6" s="27" t="str">
        <x:v>A promotion may arrive with the title, scrutiny, and a longer list of problems that now belong to the person being congratulated. Sun conjunct Saturn can make recognition and responsibility part of the same offer, so the status looks better from the outside than the workload feels from inside the role. Read the duties as closely as the title. Ask what authority, pay, staff, and time come with the added responsibility. More responsibility should come with something that makes carrying it possible.</x:v>
      </x:c>
      <x:c r="U166" s="27" t="str"/>
      <x:c r="V166" s="27" t="str">
        <x:v>READY FOR RUNTIME</x:v>
      </x:c>
    </x:row>
    <x:row r="167">
      <x:c r="A167" s="27" t="n">
        <x:v>166</x:v>
      </x:c>
      <x:c r="B167" s="27" t="str">
        <x:v>sky.sun.opposition.saturn</x:v>
      </x:c>
      <x:c r="C167" s="27" t="str">
        <x:v>sun</x:v>
      </x:c>
      <x:c r="D167" s="27" t="str">
        <x:v>opposition</x:v>
      </x:c>
      <x:c r="E167" s="27" t="str">
        <x:v>saturn</x:v>
      </x:c>
      <x:c r="F167" s="27" t="str">
        <x:v>sun|saturn</x:v>
      </x:c>
      <x:c r="G167" s="27" t="str">
        <x:v>Authority meets duty, limits, and consequence. Recognition and responsibility become inseparable parts of the same role.</x:v>
      </x:c>
      <x:c r="H167" s="27" t="str">
        <x:v>Two needs or positions face each other directly through different people, roles, institutions, or requirements. The tradeoff has to become explicit.</x:v>
      </x:c>
      <x:c r="I167" s="27" t="str">
        <x:v>A confrontation builds; the other side comes fully into view.</x:v>
      </x:c>
      <x:c r="J167" s="27" t="str">
        <x:v>The standoff resolves into balance or a split.</x:v>
      </x:c>
      <x:c r="K167" s="27" t="str">
        <x:v>[runtime sign]</x:v>
      </x:c>
      <x:c r="L167" s="27" t="str">
        <x:v>[lookup Body|Sign]</x:v>
      </x:c>
      <x:c r="M167" s="27" t="str">
        <x:v>[runtime sign]</x:v>
      </x:c>
      <x:c r="N167" s="27" t="str">
        <x:v>[lookup Body|Sign]</x:v>
      </x:c>
      <x:c r="O167" s="27" t="str">
        <x:v>[runtime local datetime]</x:v>
      </x:c>
      <x:c r="P167" s="27" t="str">
        <x:v>[runtime orb]</x:v>
      </x:c>
      <x:c r="Q167" s="27" t="str">
        <x:v>[applying / exact / separating]</x:v>
      </x:c>
      <x:c r="R167" s="27" t="str">
        <x:v>[runtime flags]</x:v>
      </x:c>
      <x:c r="S167" s="27" t="str">
        <x:v>Write one integrated collective Sky Calendar forecast for Sun in [Planet A sign] opposition Saturn in [Planet B sign] at [calculated date/time]. Preserve this pair meaning: Authority meets duty, limits, and consequence. Recognition and responsibility become inseparable parts of the same role.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7" s="27" t="str">
        <x:v>Leadership may promise a result that the person responsible for law, budget, staffing, or compliance already knows cannot be delivered as announced. Sun opposite Saturn can force public ambition to face the limit it was trying to talk around. A smaller plan is not automatically a failure if it is the one the structure can actually support. Put the restriction into the public decision instead of leaving operations to explain it later. The promise should match what the people enforcing the limits are authorized and funded to deliver.</x:v>
      </x:c>
      <x:c r="U167" s="27" t="str"/>
      <x:c r="V167" s="27" t="str">
        <x:v>READY FOR RUNTIME</x:v>
      </x:c>
    </x:row>
    <x:row r="168">
      <x:c r="A168" s="27" t="n">
        <x:v>167</x:v>
      </x:c>
      <x:c r="B168" s="27" t="str">
        <x:v>sky.sun.square.saturn</x:v>
      </x:c>
      <x:c r="C168" s="27" t="str">
        <x:v>sun</x:v>
      </x:c>
      <x:c r="D168" s="27" t="str">
        <x:v>square</x:v>
      </x:c>
      <x:c r="E168" s="27" t="str">
        <x:v>saturn</x:v>
      </x:c>
      <x:c r="F168" s="27" t="str">
        <x:v>sun|saturn</x:v>
      </x:c>
      <x:c r="G168" s="27" t="str">
        <x:v>Authority meets duty, limits, and consequence. Recognition and responsibility become inseparable parts of the same role.</x:v>
      </x:c>
      <x:c r="H168" s="27" t="str">
        <x:v>Friction makes the problem difficult to keep absorbing. Pressure repeats or escalates until the plan, rule, behavior, or distribution of responsibility changes.</x:v>
      </x:c>
      <x:c r="I168" s="27" t="str">
        <x:v>Friction builds toward a forced adjustment.</x:v>
      </x:c>
      <x:c r="J168" s="27" t="str">
        <x:v>The crisis passes; what was restructured settles.</x:v>
      </x:c>
      <x:c r="K168" s="27" t="str">
        <x:v>[runtime sign]</x:v>
      </x:c>
      <x:c r="L168" s="27" t="str">
        <x:v>[lookup Body|Sign]</x:v>
      </x:c>
      <x:c r="M168" s="27" t="str">
        <x:v>[runtime sign]</x:v>
      </x:c>
      <x:c r="N168" s="27" t="str">
        <x:v>[lookup Body|Sign]</x:v>
      </x:c>
      <x:c r="O168" s="27" t="str">
        <x:v>[runtime local datetime]</x:v>
      </x:c>
      <x:c r="P168" s="27" t="str">
        <x:v>[runtime orb]</x:v>
      </x:c>
      <x:c r="Q168" s="27" t="str">
        <x:v>[applying / exact / separating]</x:v>
      </x:c>
      <x:c r="R168" s="27" t="str">
        <x:v>[runtime flags]</x:v>
      </x:c>
      <x:c r="S168" s="27" t="str">
        <x:v>Write one integrated collective Sky Calendar forecast for Sun in [Planet A sign] square Saturn in [Planet B sign] at [calculated date/time]. Preserve this pair meaning: Authority meets duty, limits, and consequence. Recognition and responsibility become inseparable parts of the same role.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8" s="27" t="str">
        <x:v>A popular plan can still hit a deadline, rule, budget, or private obligation that will not move just because everyone wants the project to continue. Sun square Saturn can make that limit feel personal, especially when leadership has already promised a result and somebody else is left enforcing the boundary. The deadline is not proof that one person should be doing three jobs at once. Rework the scope, timing, or responsibility before asking the same person to absorb the gap. A hard limit is useful when it forces the plan to become more accurate.</x:v>
      </x:c>
      <x:c r="U168" s="27" t="str"/>
      <x:c r="V168" s="27" t="str">
        <x:v>READY FOR RUNTIME</x:v>
      </x:c>
    </x:row>
    <x:row r="169">
      <x:c r="A169" s="27" t="n">
        <x:v>168</x:v>
      </x:c>
      <x:c r="B169" s="27" t="str">
        <x:v>sky.sun.trine.saturn</x:v>
      </x:c>
      <x:c r="C169" s="27" t="str">
        <x:v>sun</x:v>
      </x:c>
      <x:c r="D169" s="27" t="str">
        <x:v>trine</x:v>
      </x:c>
      <x:c r="E169" s="27" t="str">
        <x:v>saturn</x:v>
      </x:c>
      <x:c r="F169" s="27" t="str">
        <x:v>sun|saturn</x:v>
      </x:c>
      <x:c r="G169" s="27" t="str">
        <x:v>Authority meets duty, limits, and consequence. Recognition and responsibility become inseparable parts of the same role.</x:v>
      </x:c>
      <x:c r="H169" s="27" t="str">
        <x:v>The two functions support each other easily. Momentum is available with less resistance, which helps progress but can let a weak assumption travel farther.</x:v>
      </x:c>
      <x:c r="I169" s="27" t="str">
        <x:v>Ease and support build and arrive on their own.</x:v>
      </x:c>
      <x:c r="J169" s="27" t="str">
        <x:v>The ease withdraws; the flow passes, used or not.</x:v>
      </x:c>
      <x:c r="K169" s="27" t="str">
        <x:v>[runtime sign]</x:v>
      </x:c>
      <x:c r="L169" s="27" t="str">
        <x:v>[lookup Body|Sign]</x:v>
      </x:c>
      <x:c r="M169" s="27" t="str">
        <x:v>[runtime sign]</x:v>
      </x:c>
      <x:c r="N169" s="27" t="str">
        <x:v>[lookup Body|Sign]</x:v>
      </x:c>
      <x:c r="O169" s="27" t="str">
        <x:v>[runtime local datetime]</x:v>
      </x:c>
      <x:c r="P169" s="27" t="str">
        <x:v>[runtime orb]</x:v>
      </x:c>
      <x:c r="Q169" s="27" t="str">
        <x:v>[applying / exact / separating]</x:v>
      </x:c>
      <x:c r="R169" s="27" t="str">
        <x:v>[runtime flags]</x:v>
      </x:c>
      <x:c r="S169" s="27" t="str">
        <x:v>Write one integrated collective Sky Calendar forecast for Sun in [Planet A sign] trine Saturn in [Planet B sign] at [calculated date/time]. Preserve this pair meaning: Authority meets duty, limits, and consequence. Recognition and responsibility become inseparable parts of the same role.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69" s="27" t="str">
        <x:v>Authority may finally move to the person who has already been doing the work without the title. Sun trine Saturn can make recognition easier to formalize when the hours, decisions, and track record are already there. This is the point where the title, pay, access, and responsibility should catch up with the role someone has been carrying in practice. Make the change official. Recognition means more when it changes what the person can decide, what they are paid, and what work no longer has to be done without authority.</x:v>
      </x:c>
      <x:c r="U169" s="27" t="str"/>
      <x:c r="V169" s="27" t="str">
        <x:v>READY FOR RUNTIME</x:v>
      </x:c>
    </x:row>
    <x:row r="170">
      <x:c r="A170" s="27" t="n">
        <x:v>169</x:v>
      </x:c>
      <x:c r="B170" s="27" t="str">
        <x:v>sky.sun.sextile.saturn</x:v>
      </x:c>
      <x:c r="C170" s="27" t="str">
        <x:v>sun</x:v>
      </x:c>
      <x:c r="D170" s="27" t="str">
        <x:v>sextile</x:v>
      </x:c>
      <x:c r="E170" s="27" t="str">
        <x:v>saturn</x:v>
      </x:c>
      <x:c r="F170" s="27" t="str">
        <x:v>sun|saturn</x:v>
      </x:c>
      <x:c r="G170" s="27" t="str">
        <x:v>Authority meets duty, limits, and consequence. Recognition and responsibility become inseparable parts of the same role.</x:v>
      </x:c>
      <x:c r="H170" s="27" t="str">
        <x:v>A workable opening appears between the two functions. The opportunity is useful but not automatic; someone still has to notice it and make the specific move.</x:v>
      </x:c>
      <x:c r="I170" s="27" t="str">
        <x:v>A supportive opening becomes available; offered, not automatic.</x:v>
      </x:c>
      <x:c r="J170" s="27" t="str">
        <x:v>The opening closes; unused, it passes.</x:v>
      </x:c>
      <x:c r="K170" s="27" t="str">
        <x:v>[runtime sign]</x:v>
      </x:c>
      <x:c r="L170" s="27" t="str">
        <x:v>[lookup Body|Sign]</x:v>
      </x:c>
      <x:c r="M170" s="27" t="str">
        <x:v>[runtime sign]</x:v>
      </x:c>
      <x:c r="N170" s="27" t="str">
        <x:v>[lookup Body|Sign]</x:v>
      </x:c>
      <x:c r="O170" s="27" t="str">
        <x:v>[runtime local datetime]</x:v>
      </x:c>
      <x:c r="P170" s="27" t="str">
        <x:v>[runtime orb]</x:v>
      </x:c>
      <x:c r="Q170" s="27" t="str">
        <x:v>[applying / exact / separating]</x:v>
      </x:c>
      <x:c r="R170" s="27" t="str">
        <x:v>[runtime flags]</x:v>
      </x:c>
      <x:c r="S170" s="27" t="str">
        <x:v>Write one integrated collective Sky Calendar forecast for Sun in [Planet A sign] sextile Saturn in [Planet B sign] at [calculated date/time]. Preserve this pair meaning: Authority meets duty, limits, and consequence. Recognition and responsibility become inseparable parts of the same role.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0" s="27" t="str">
        <x:v>A promotion, license, or approval may clear once the record shows the hours, budget, and responsibility behind the achievement. Sun sextile Saturn can create a practical opening for work that has already survived scrutiny to receive formal recognition. The opportunity is not the same as the paperwork finishing itself. Submit the missing proof, confirm the condition, and get the decision in writing. Credit carries more weight when it comes with the authority or status that the documented work was supposed to earn.</x:v>
      </x:c>
      <x:c r="U170" s="27" t="str"/>
      <x:c r="V170" s="27" t="str">
        <x:v>READY FOR RUNTIME</x:v>
      </x:c>
    </x:row>
    <x:row r="171">
      <x:c r="A171" s="27" t="n">
        <x:v>170</x:v>
      </x:c>
      <x:c r="B171" s="27" t="str">
        <x:v>sky.sun.conjunction.uranus</x:v>
      </x:c>
      <x:c r="C171" s="27" t="str">
        <x:v>sun</x:v>
      </x:c>
      <x:c r="D171" s="27" t="str">
        <x:v>conjunction</x:v>
      </x:c>
      <x:c r="E171" s="27" t="str">
        <x:v>uranus</x:v>
      </x:c>
      <x:c r="F171" s="27" t="str">
        <x:v>sun|uranus</x:v>
      </x:c>
      <x:c r="G171" s="27" t="str">
        <x:v>Leadership meets disruption and independence. Sudden change challenges who sets the direction and which commitments can still hold.</x:v>
      </x:c>
      <x:c r="H171" s="27" t="str">
        <x:v>The two functions operate inside the same event. Benefit and complication arrive together, so separating one from the other is difficult.</x:v>
      </x:c>
      <x:c r="I171" s="27" t="str">
        <x:v>The two fuse and intensify as they close in.</x:v>
      </x:c>
      <x:c r="J171" s="27" t="str">
        <x:v>The fused theme peaks and discharges.</x:v>
      </x:c>
      <x:c r="K171" s="27" t="str">
        <x:v>[runtime sign]</x:v>
      </x:c>
      <x:c r="L171" s="27" t="str">
        <x:v>[lookup Body|Sign]</x:v>
      </x:c>
      <x:c r="M171" s="27" t="str">
        <x:v>[runtime sign]</x:v>
      </x:c>
      <x:c r="N171" s="27" t="str">
        <x:v>[lookup Body|Sign]</x:v>
      </x:c>
      <x:c r="O171" s="27" t="str">
        <x:v>[runtime local datetime]</x:v>
      </x:c>
      <x:c r="P171" s="27" t="str">
        <x:v>[runtime orb]</x:v>
      </x:c>
      <x:c r="Q171" s="27" t="str">
        <x:v>[applying / exact / separating]</x:v>
      </x:c>
      <x:c r="R171" s="27" t="str">
        <x:v>[runtime flags]</x:v>
      </x:c>
      <x:c r="S171" s="27" t="str">
        <x:v>Write one integrated collective Sky Calendar forecast for Sun in [Planet A sign] conjunction Uranus in [Planet B sign] at [calculated date/time]. Preserve this pair meaning: Leadership meets disruption and independence. Sudden change challenges who sets the direction and which commitments can still hold.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1" s="27" t="str">
        <x:v>One unexpected resignation, disclosure, or break from the plan can change the public story before leadership has time to prepare the response. Sun conjunct Uranus can make the disruption itself become the new direction, especially when the person at the center decides the old arrangement is no longer worth protecting. The shock may be useful if it exposes a problem everyone was already avoiding. Do not spend the whole response trying to restore the old script. Name what actually changed and what now has to be rebuilt because the break made the previous plan impossible.</x:v>
      </x:c>
      <x:c r="U171" s="27" t="str"/>
      <x:c r="V171" s="27" t="str">
        <x:v>READY FOR RUNTIME</x:v>
      </x:c>
    </x:row>
    <x:row r="172">
      <x:c r="A172" s="27" t="n">
        <x:v>171</x:v>
      </x:c>
      <x:c r="B172" s="27" t="str">
        <x:v>sky.sun.opposition.uranus</x:v>
      </x:c>
      <x:c r="C172" s="27" t="str">
        <x:v>sun</x:v>
      </x:c>
      <x:c r="D172" s="27" t="str">
        <x:v>opposition</x:v>
      </x:c>
      <x:c r="E172" s="27" t="str">
        <x:v>uranus</x:v>
      </x:c>
      <x:c r="F172" s="27" t="str">
        <x:v>sun|uranus</x:v>
      </x:c>
      <x:c r="G172" s="27" t="str">
        <x:v>Leadership meets disruption and independence. Sudden change challenges who sets the direction and which commitments can still hold.</x:v>
      </x:c>
      <x:c r="H172" s="27" t="str">
        <x:v>Two needs or positions face each other directly through different people, roles, institutions, or requirements. The tradeoff has to become explicit.</x:v>
      </x:c>
      <x:c r="I172" s="27" t="str">
        <x:v>A confrontation builds; the other side comes fully into view.</x:v>
      </x:c>
      <x:c r="J172" s="27" t="str">
        <x:v>The standoff resolves into balance or a split.</x:v>
      </x:c>
      <x:c r="K172" s="27" t="str">
        <x:v>[runtime sign]</x:v>
      </x:c>
      <x:c r="L172" s="27" t="str">
        <x:v>[lookup Body|Sign]</x:v>
      </x:c>
      <x:c r="M172" s="27" t="str">
        <x:v>[runtime sign]</x:v>
      </x:c>
      <x:c r="N172" s="27" t="str">
        <x:v>[lookup Body|Sign]</x:v>
      </x:c>
      <x:c r="O172" s="27" t="str">
        <x:v>[runtime local datetime]</x:v>
      </x:c>
      <x:c r="P172" s="27" t="str">
        <x:v>[runtime orb]</x:v>
      </x:c>
      <x:c r="Q172" s="27" t="str">
        <x:v>[applying / exact / separating]</x:v>
      </x:c>
      <x:c r="R172" s="27" t="str">
        <x:v>[runtime flags]</x:v>
      </x:c>
      <x:c r="S172" s="27" t="str">
        <x:v>Write one integrated collective Sky Calendar forecast for Sun in [Planet A sign] opposition Uranus in [Planet B sign] at [calculated date/time]. Preserve this pair meaning: Leadership meets disruption and independence. Sudden change challenges who sets the direction and which commitments can still hold. For the opposition, apply this behavior: Two needs or positions face each other directly through different people, roles, institutions, or requirements. The tradeoff has to become explicit. Use the Planet A sign to change how Sun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2" s="27" t="str">
        <x:v>Leadership may insist the plan is still intact while a public departure proves that something inside it has already broken. Sun opposite Uranus can put the official story directly against the person naming the rules, restrictions, or decisions that made staying untenable. The departure may look sudden from the outside and still have a long history behind it. Read the reason for the exit before replacing the person. If the same condition remains, continuity only guarantees that the next conflict will arrive under a different name.</x:v>
      </x:c>
      <x:c r="U172" s="27" t="str"/>
      <x:c r="V172" s="27" t="str">
        <x:v>READY FOR RUNTIME</x:v>
      </x:c>
    </x:row>
    <x:row r="173">
      <x:c r="A173" s="27" t="n">
        <x:v>172</x:v>
      </x:c>
      <x:c r="B173" s="27" t="str">
        <x:v>sky.sun.square.uranus</x:v>
      </x:c>
      <x:c r="C173" s="27" t="str">
        <x:v>sun</x:v>
      </x:c>
      <x:c r="D173" s="27" t="str">
        <x:v>square</x:v>
      </x:c>
      <x:c r="E173" s="27" t="str">
        <x:v>uranus</x:v>
      </x:c>
      <x:c r="F173" s="27" t="str">
        <x:v>sun|uranus</x:v>
      </x:c>
      <x:c r="G173" s="27" t="str">
        <x:v>Leadership meets disruption and independence. Sudden change challenges who sets the direction and which commitments can still hold.</x:v>
      </x:c>
      <x:c r="H173" s="27" t="str">
        <x:v>Friction makes the problem difficult to keep absorbing. Pressure repeats or escalates until the plan, rule, behavior, or distribution of responsibility changes.</x:v>
      </x:c>
      <x:c r="I173" s="27" t="str">
        <x:v>Friction builds toward a forced adjustment.</x:v>
      </x:c>
      <x:c r="J173" s="27" t="str">
        <x:v>The crisis passes; what was restructured settles.</x:v>
      </x:c>
      <x:c r="K173" s="27" t="str">
        <x:v>[runtime sign]</x:v>
      </x:c>
      <x:c r="L173" s="27" t="str">
        <x:v>[lookup Body|Sign]</x:v>
      </x:c>
      <x:c r="M173" s="27" t="str">
        <x:v>[runtime sign]</x:v>
      </x:c>
      <x:c r="N173" s="27" t="str">
        <x:v>[lookup Body|Sign]</x:v>
      </x:c>
      <x:c r="O173" s="27" t="str">
        <x:v>[runtime local datetime]</x:v>
      </x:c>
      <x:c r="P173" s="27" t="str">
        <x:v>[runtime orb]</x:v>
      </x:c>
      <x:c r="Q173" s="27" t="str">
        <x:v>[applying / exact / separating]</x:v>
      </x:c>
      <x:c r="R173" s="27" t="str">
        <x:v>[runtime flags]</x:v>
      </x:c>
      <x:c r="S173" s="27" t="str">
        <x:v>Write one integrated collective Sky Calendar forecast for Sun in [Planet A sign] square Uranus in [Planet B sign] at [calculated date/time]. Preserve this pair meaning: Leadership meets disruption and independence. Sudden change challenges who sets the direction and which commitments can still hold. For the square, apply this behavior: Friction makes the problem difficult to keep absorbing. Pressure repeats or escalates until the plan, rule, behavior, or distribution of responsibility changes. Use the Planet A sign to change how Sun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3" s="27" t="str">
        <x:v>An abrupt resignation can void dates and promises that were already given to clients, staff, or partners. Sun square Uranus can turn one person's break from the arrangement into immediate instability for everyone who built plans around their authority. The argument about who owns the project can wait long enough to protect the people depending on it. Confirm who can make decisions now, which commitments still stand, and what needs to be postponed. The first job is not restoring appearances. It is keeping the sudden break from creating avoidable damage downstream.</x:v>
      </x:c>
      <x:c r="U173" s="27" t="str"/>
      <x:c r="V173" s="27" t="str">
        <x:v>READY FOR RUNTIME</x:v>
      </x:c>
    </x:row>
    <x:row r="174">
      <x:c r="A174" s="27" t="n">
        <x:v>173</x:v>
      </x:c>
      <x:c r="B174" s="27" t="str">
        <x:v>sky.sun.trine.uranus</x:v>
      </x:c>
      <x:c r="C174" s="27" t="str">
        <x:v>sun</x:v>
      </x:c>
      <x:c r="D174" s="27" t="str">
        <x:v>trine</x:v>
      </x:c>
      <x:c r="E174" s="27" t="str">
        <x:v>uranus</x:v>
      </x:c>
      <x:c r="F174" s="27" t="str">
        <x:v>sun|uranus</x:v>
      </x:c>
      <x:c r="G174" s="27" t="str">
        <x:v>Leadership meets disruption and independence. Sudden change challenges who sets the direction and which commitments can still hold.</x:v>
      </x:c>
      <x:c r="H174" s="27" t="str">
        <x:v>The two functions support each other easily. Momentum is available with less resistance, which helps progress but can let a weak assumption travel farther.</x:v>
      </x:c>
      <x:c r="I174" s="27" t="str">
        <x:v>Ease and support build and arrive on their own.</x:v>
      </x:c>
      <x:c r="J174" s="27" t="str">
        <x:v>The ease withdraws; the flow passes, used or not.</x:v>
      </x:c>
      <x:c r="K174" s="27" t="str">
        <x:v>[runtime sign]</x:v>
      </x:c>
      <x:c r="L174" s="27" t="str">
        <x:v>[lookup Body|Sign]</x:v>
      </x:c>
      <x:c r="M174" s="27" t="str">
        <x:v>[runtime sign]</x:v>
      </x:c>
      <x:c r="N174" s="27" t="str">
        <x:v>[lookup Body|Sign]</x:v>
      </x:c>
      <x:c r="O174" s="27" t="str">
        <x:v>[runtime local datetime]</x:v>
      </x:c>
      <x:c r="P174" s="27" t="str">
        <x:v>[runtime orb]</x:v>
      </x:c>
      <x:c r="Q174" s="27" t="str">
        <x:v>[applying / exact / separating]</x:v>
      </x:c>
      <x:c r="R174" s="27" t="str">
        <x:v>[runtime flags]</x:v>
      </x:c>
      <x:c r="S174" s="27" t="str">
        <x:v>Write one integrated collective Sky Calendar forecast for Sun in [Planet A sign] trine Uranus in [Planet B sign] at [calculated date/time]. Preserve this pair meaning: Leadership meets disruption and independence. Sudden change challenges who sets the direction and which commitments can still hold. For the trine, apply this behavior: The two functions support each other easily. Momentum is available with less resistance, which helps progress but can let a weak assumption travel farther. Use the Planet A sign to change how Sun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4" s="27" t="str">
        <x:v>Leadership may finally approve the change people have been asking for before the old process creates another crisis. Sun trine Uranus can make reform easier to implement when the person with authority is willing to put their name behind a better system instead of defending the familiar one. The new platform, reporting line, or policy still has to work on an ordinary Tuesday. Roll it out with enough support to prove that. A bold change earns trust when daily work gets easier after the announcement, not just more exciting on launch day.</x:v>
      </x:c>
      <x:c r="U174" s="27" t="str"/>
      <x:c r="V174" s="27" t="str">
        <x:v>READY FOR RUNTIME</x:v>
      </x:c>
    </x:row>
    <x:row r="175">
      <x:c r="A175" s="27" t="n">
        <x:v>174</x:v>
      </x:c>
      <x:c r="B175" s="27" t="str">
        <x:v>sky.sun.sextile.uranus</x:v>
      </x:c>
      <x:c r="C175" s="27" t="str">
        <x:v>sun</x:v>
      </x:c>
      <x:c r="D175" s="27" t="str">
        <x:v>sextile</x:v>
      </x:c>
      <x:c r="E175" s="27" t="str">
        <x:v>uranus</x:v>
      </x:c>
      <x:c r="F175" s="27" t="str">
        <x:v>sun|uranus</x:v>
      </x:c>
      <x:c r="G175" s="27" t="str">
        <x:v>Leadership meets disruption and independence. Sudden change challenges who sets the direction and which commitments can still hold.</x:v>
      </x:c>
      <x:c r="H175" s="27" t="str">
        <x:v>A workable opening appears between the two functions. The opportunity is useful but not automatic; someone still has to notice it and make the specific move.</x:v>
      </x:c>
      <x:c r="I175" s="27" t="str">
        <x:v>A supportive opening becomes available; offered, not automatic.</x:v>
      </x:c>
      <x:c r="J175" s="27" t="str">
        <x:v>The opening closes; unused, it passes.</x:v>
      </x:c>
      <x:c r="K175" s="27" t="str">
        <x:v>[runtime sign]</x:v>
      </x:c>
      <x:c r="L175" s="27" t="str">
        <x:v>[lookup Body|Sign]</x:v>
      </x:c>
      <x:c r="M175" s="27" t="str">
        <x:v>[runtime sign]</x:v>
      </x:c>
      <x:c r="N175" s="27" t="str">
        <x:v>[lookup Body|Sign]</x:v>
      </x:c>
      <x:c r="O175" s="27" t="str">
        <x:v>[runtime local datetime]</x:v>
      </x:c>
      <x:c r="P175" s="27" t="str">
        <x:v>[runtime orb]</x:v>
      </x:c>
      <x:c r="Q175" s="27" t="str">
        <x:v>[applying / exact / separating]</x:v>
      </x:c>
      <x:c r="R175" s="27" t="str">
        <x:v>[runtime flags]</x:v>
      </x:c>
      <x:c r="S175" s="27" t="str">
        <x:v>Write one integrated collective Sky Calendar forecast for Sun in [Planet A sign] sextile Uranus in [Planet B sign] at [calculated date/time]. Preserve this pair meaning: Leadership meets disruption and independence. Sudden change challenges who sets the direction and which commitments can still hold. For the sextile, apply this behavior: A workable opening appears between the two functions. The opportunity is useful but not automatic; someone still has to notice it and make the specific move. Use the Planet A sign to change how Sun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5" s="27" t="str">
        <x:v>New software or one procedural change may clear a bottleneck the old workflow kept reproducing. Sun sextile Uranus can give an experiment enough authority to be tested inside the live system without requiring everyone to abandon the current process first. Start with the failure everyone can already see. Give one team the tool, track the result, and keep the old route available until the replacement has handled ordinary use. The change earns support when people can point to the delay it removed.</x:v>
      </x:c>
      <x:c r="U175" s="27" t="str"/>
      <x:c r="V175" s="27" t="str">
        <x:v>READY FOR RUNTIME</x:v>
      </x:c>
    </x:row>
    <x:row r="176">
      <x:c r="A176" s="27" t="n">
        <x:v>175</x:v>
      </x:c>
      <x:c r="B176" s="27" t="str">
        <x:v>sky.sun.conjunction.venus</x:v>
      </x:c>
      <x:c r="C176" s="27" t="str">
        <x:v>sun</x:v>
      </x:c>
      <x:c r="D176" s="27" t="str">
        <x:v>conjunction</x:v>
      </x:c>
      <x:c r="E176" s="27" t="str">
        <x:v>venus</x:v>
      </x:c>
      <x:c r="F176" s="27" t="str">
        <x:v>sun|venus</x:v>
      </x:c>
      <x:c r="G176" s="27" t="str">
        <x:v>Leadership and visibility meet value, agreement, and relationship. Recognition, money, diplomacy, or public goodwill becomes part of the decision.</x:v>
      </x:c>
      <x:c r="H176" s="27" t="str">
        <x:v>The two functions operate inside the same event. Benefit and complication arrive together, so separating one from the other is difficult.</x:v>
      </x:c>
      <x:c r="I176" s="27" t="str">
        <x:v>The two fuse and intensify as they close in.</x:v>
      </x:c>
      <x:c r="J176" s="27" t="str">
        <x:v>The fused theme peaks and discharges.</x:v>
      </x:c>
      <x:c r="K176" s="27" t="str">
        <x:v>[runtime sign]</x:v>
      </x:c>
      <x:c r="L176" s="27" t="str">
        <x:v>[lookup Body|Sign]</x:v>
      </x:c>
      <x:c r="M176" s="27" t="str">
        <x:v>[runtime sign]</x:v>
      </x:c>
      <x:c r="N176" s="27" t="str">
        <x:v>[lookup Body|Sign]</x:v>
      </x:c>
      <x:c r="O176" s="27" t="str">
        <x:v>[runtime local datetime]</x:v>
      </x:c>
      <x:c r="P176" s="27" t="str">
        <x:v>[runtime orb]</x:v>
      </x:c>
      <x:c r="Q176" s="27" t="str">
        <x:v>[applying / exact / separating]</x:v>
      </x:c>
      <x:c r="R176" s="27" t="str">
        <x:v>[runtime flags]</x:v>
      </x:c>
      <x:c r="S176" s="27" t="str">
        <x:v>Write one integrated collective Sky Calendar forecast for Sun in [Planet A sign] conjunction Venus in [Planet B sign] at [calculated date/time]. Preserve this pair meaning: Leadership and visibility meet value, agreement, and relationship. Recognition, money, diplomacy, or public goodwill becomes part of the decision. For the conjunction, apply this behavior: The two functions operate inside the same event. Benefit and complication arrive together, so separating one from the other is difficult. Use the Planet A sign to change how Sun acts and what situations are plausible. Use the Planet B sign to change what Venus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6" s="27" t="str">
        <x:v>Turnout, applause, or a polished public response can become the whole scorecard even when the original goal was harder to measure. Sun conjunct Venus can make being liked and being effective look like the same thing, especially when sponsors, leaders, or organizers want visible enthusiasm to stand in for value. Count the quieter result too. Who was paid, who benefited, what changed, and what did the attention actually produce? Approval matters, but it should not be the only evidence that the work succeeded.</x:v>
      </x:c>
      <x:c r="U176" s="27" t="str"/>
      <x:c r="V176" s="27" t="str">
        <x:v>READY FOR RUNTIME</x:v>
      </x:c>
    </x:row>
    <x:row r="177">
      <x:c r="A177" s="27" t="n">
        <x:v>176</x:v>
      </x:c>
      <x:c r="B177" s="27" t="str">
        <x:v>sky.uranus.conjunction.neptune</x:v>
      </x:c>
      <x:c r="C177" s="27" t="str">
        <x:v>uranus</x:v>
      </x:c>
      <x:c r="D177" s="27" t="str">
        <x:v>conjunction</x:v>
      </x:c>
      <x:c r="E177" s="27" t="str">
        <x:v>neptune</x:v>
      </x:c>
      <x:c r="F177" s="27" t="str">
        <x:v>uranus|neptune</x:v>
      </x:c>
      <x:c r="G177" s="27" t="str">
        <x:v>Disruption and technology meet ideals and collective feeling. New tools can change how people imagine, understand, or respond to a shared problem.</x:v>
      </x:c>
      <x:c r="H177" s="27" t="str">
        <x:v>The two functions operate inside the same event. Benefit and complication arrive together, so separating one from the other is difficult.</x:v>
      </x:c>
      <x:c r="I177" s="27" t="str">
        <x:v>The two fuse and intensify as they close in.</x:v>
      </x:c>
      <x:c r="J177" s="27" t="str">
        <x:v>The fused theme peaks and discharges.</x:v>
      </x:c>
      <x:c r="K177" s="27" t="str">
        <x:v>[runtime sign]</x:v>
      </x:c>
      <x:c r="L177" s="27" t="str">
        <x:v>[lookup Body|Sign]</x:v>
      </x:c>
      <x:c r="M177" s="27" t="str">
        <x:v>[runtime sign]</x:v>
      </x:c>
      <x:c r="N177" s="27" t="str">
        <x:v>[lookup Body|Sign]</x:v>
      </x:c>
      <x:c r="O177" s="27" t="str">
        <x:v>[runtime local datetime]</x:v>
      </x:c>
      <x:c r="P177" s="27" t="str">
        <x:v>[runtime orb]</x:v>
      </x:c>
      <x:c r="Q177" s="27" t="str">
        <x:v>[applying / exact / separating]</x:v>
      </x:c>
      <x:c r="R177" s="27" t="str">
        <x:v>[runtime flags]</x:v>
      </x:c>
      <x:c r="S177" s="27" t="str">
        <x:v>Write one integrated collective Sky Calendar forecast for Uranus in [Planet A sign] conjunction Neptune in [Planet B sign] at [calculated date/time]. Preserve this pair meaning: Disruption and technology meet ideals and collective feeling. New tools can change how people imagine, understand, or respond to a shared problem. For the conjunction, apply this behavior: The two functions operate inside the same event. Benefit and complication arrive together, so separating one from the other is difficult. Use the Planet A sign to change how Uranus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7" s="27" t="str">
        <x:v>A technological or cultural breakthrough can arrive already carrying a story about how everyone will live once it spreads. Uranus conjunct Neptune can make innovation and idealism rise together, so a new platform, medium, or movement feels like proof of the future before ownership, limits, or consequences are clear. The excitement may be deserved. The projection can be just as strong. Ask who controls the tool, what it actually changes, and what happens if the promise does not hold. A new interface is not the same thing as a new distribution of power.</x:v>
      </x:c>
      <x:c r="U177" s="27" t="str"/>
      <x:c r="V177" s="27" t="str">
        <x:v>READY FOR RUNTIME</x:v>
      </x:c>
    </x:row>
    <x:row r="178">
      <x:c r="A178" s="27" t="n">
        <x:v>177</x:v>
      </x:c>
      <x:c r="B178" s="27" t="str">
        <x:v>sky.uranus.opposition.neptune</x:v>
      </x:c>
      <x:c r="C178" s="27" t="str">
        <x:v>uranus</x:v>
      </x:c>
      <x:c r="D178" s="27" t="str">
        <x:v>opposition</x:v>
      </x:c>
      <x:c r="E178" s="27" t="str">
        <x:v>neptune</x:v>
      </x:c>
      <x:c r="F178" s="27" t="str">
        <x:v>uranus|neptune</x:v>
      </x:c>
      <x:c r="G178" s="27" t="str">
        <x:v>Disruption and technology meet ideals and collective feeling. New tools can change how people imagine, understand, or respond to a shared problem.</x:v>
      </x:c>
      <x:c r="H178" s="27" t="str">
        <x:v>Two needs or positions face each other directly through different people, roles, institutions, or requirements. The tradeoff has to become explicit.</x:v>
      </x:c>
      <x:c r="I178" s="27" t="str">
        <x:v>A confrontation builds; the other side comes fully into view.</x:v>
      </x:c>
      <x:c r="J178" s="27" t="str">
        <x:v>The standoff resolves into balance or a split.</x:v>
      </x:c>
      <x:c r="K178" s="27" t="str">
        <x:v>[runtime sign]</x:v>
      </x:c>
      <x:c r="L178" s="27" t="str">
        <x:v>[lookup Body|Sign]</x:v>
      </x:c>
      <x:c r="M178" s="27" t="str">
        <x:v>[runtime sign]</x:v>
      </x:c>
      <x:c r="N178" s="27" t="str">
        <x:v>[lookup Body|Sign]</x:v>
      </x:c>
      <x:c r="O178" s="27" t="str">
        <x:v>[runtime local datetime]</x:v>
      </x:c>
      <x:c r="P178" s="27" t="str">
        <x:v>[runtime orb]</x:v>
      </x:c>
      <x:c r="Q178" s="27" t="str">
        <x:v>[applying / exact / separating]</x:v>
      </x:c>
      <x:c r="R178" s="27" t="str">
        <x:v>[runtime flags]</x:v>
      </x:c>
      <x:c r="S178" s="27" t="str">
        <x:v>Write one integrated collective Sky Calendar forecast for Uranus in [Planet A sign] opposition Neptune in [Planet B sign] at [calculated date/time]. Preserve this pair meaning: Disruption and technology meet ideals and collective feeling. New tools can change how people imagine, understand, or respond to a shared problem. For the opposition, apply this behavior: Two needs or positions face each other directly through different people, roles, institutions, or requirements. The tradeoff has to become explicit. Use the Planet A sign to change how Uranus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8" s="27" t="str">
        <x:v>The people demanding proof may end up facing a movement that survives because its vision is larger than anything the current system can measure. Uranus opposite Neptune can put testable reform directly across from a collective ideal, especially when technology is being asked to carry hope, solidarity, or a future nobody can fully describe yet. Do not force the choice into belief versus cynicism. Test what can be tested. Keep the part of the vision that still matters after the tool, platform, or strategy has to answer for its results.</x:v>
      </x:c>
      <x:c r="U178" s="27" t="str"/>
      <x:c r="V178" s="27" t="str">
        <x:v>READY FOR RUNTIME</x:v>
      </x:c>
    </x:row>
    <x:row r="179">
      <x:c r="A179" s="27" t="n">
        <x:v>178</x:v>
      </x:c>
      <x:c r="B179" s="27" t="str">
        <x:v>sky.uranus.square.neptune</x:v>
      </x:c>
      <x:c r="C179" s="27" t="str">
        <x:v>uranus</x:v>
      </x:c>
      <x:c r="D179" s="27" t="str">
        <x:v>square</x:v>
      </x:c>
      <x:c r="E179" s="27" t="str">
        <x:v>neptune</x:v>
      </x:c>
      <x:c r="F179" s="27" t="str">
        <x:v>uranus|neptune</x:v>
      </x:c>
      <x:c r="G179" s="27" t="str">
        <x:v>Disruption and technology meet ideals and collective feeling. New tools can change how people imagine, understand, or respond to a shared problem.</x:v>
      </x:c>
      <x:c r="H179" s="27" t="str">
        <x:v>Friction makes the problem difficult to keep absorbing. Pressure repeats or escalates until the plan, rule, behavior, or distribution of responsibility changes.</x:v>
      </x:c>
      <x:c r="I179" s="27" t="str">
        <x:v>Friction builds toward a forced adjustment.</x:v>
      </x:c>
      <x:c r="J179" s="27" t="str">
        <x:v>The crisis passes; what was restructured settles.</x:v>
      </x:c>
      <x:c r="K179" s="27" t="str">
        <x:v>[runtime sign]</x:v>
      </x:c>
      <x:c r="L179" s="27" t="str">
        <x:v>[lookup Body|Sign]</x:v>
      </x:c>
      <x:c r="M179" s="27" t="str">
        <x:v>[runtime sign]</x:v>
      </x:c>
      <x:c r="N179" s="27" t="str">
        <x:v>[lookup Body|Sign]</x:v>
      </x:c>
      <x:c r="O179" s="27" t="str">
        <x:v>[runtime local datetime]</x:v>
      </x:c>
      <x:c r="P179" s="27" t="str">
        <x:v>[runtime orb]</x:v>
      </x:c>
      <x:c r="Q179" s="27" t="str">
        <x:v>[applying / exact / separating]</x:v>
      </x:c>
      <x:c r="R179" s="27" t="str">
        <x:v>[runtime flags]</x:v>
      </x:c>
      <x:c r="S179" s="27" t="str">
        <x:v>Write one integrated collective Sky Calendar forecast for Uranus in [Planet A sign] square Neptune in [Planet B sign] at [calculated date/time]. Preserve this pair meaning: Disruption and technology meet ideals and collective feeling. New tools can change how people imagine, understand, or respond to a shared problem. For the square, apply this behavior: Friction makes the problem difficult to keep absorbing. Pressure repeats or escalates until the plan, rule, behavior, or distribution of responsibility changes. Use the Planet A sign to change how Uranus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79" s="27" t="str">
        <x:v>A viral solution may collect believers before anyone has had time to test if it works. Uranus square Neptune can make new platforms, anonymous funds, artificial images, or unverified tools spread through a crisis while hope fills the gaps in evidence. The first failure can become an excuse to chase the next version instead of asking what the experiment already proved. Slow the repeat cycle. Verify the source, ownership, results, and people carrying the downside before another round of attention or money turns the same uncertainty into a larger problem.</x:v>
      </x:c>
      <x:c r="U179" s="27" t="str"/>
      <x:c r="V179" s="27" t="str">
        <x:v>READY FOR RUNTIME</x:v>
      </x:c>
    </x:row>
    <x:row r="180">
      <x:c r="A180" s="27" t="n">
        <x:v>179</x:v>
      </x:c>
      <x:c r="B180" s="27" t="str">
        <x:v>sky.uranus.trine.neptune</x:v>
      </x:c>
      <x:c r="C180" s="27" t="str">
        <x:v>uranus</x:v>
      </x:c>
      <x:c r="D180" s="27" t="str">
        <x:v>trine</x:v>
      </x:c>
      <x:c r="E180" s="27" t="str">
        <x:v>neptune</x:v>
      </x:c>
      <x:c r="F180" s="27" t="str">
        <x:v>uranus|neptune</x:v>
      </x:c>
      <x:c r="G180" s="27" t="str">
        <x:v>Disruption and technology meet ideals and collective feeling. New tools can change how people imagine, understand, or respond to a shared problem.</x:v>
      </x:c>
      <x:c r="H180" s="27" t="str">
        <x:v>The two functions support each other easily. Momentum is available with less resistance, which helps progress but can let a weak assumption travel farther.</x:v>
      </x:c>
      <x:c r="I180" s="27" t="str">
        <x:v>Ease and support build and arrive on their own.</x:v>
      </x:c>
      <x:c r="J180" s="27" t="str">
        <x:v>The ease withdraws; the flow passes, used or not.</x:v>
      </x:c>
      <x:c r="K180" s="27" t="str">
        <x:v>[runtime sign]</x:v>
      </x:c>
      <x:c r="L180" s="27" t="str">
        <x:v>[lookup Body|Sign]</x:v>
      </x:c>
      <x:c r="M180" s="27" t="str">
        <x:v>[runtime sign]</x:v>
      </x:c>
      <x:c r="N180" s="27" t="str">
        <x:v>[lookup Body|Sign]</x:v>
      </x:c>
      <x:c r="O180" s="27" t="str">
        <x:v>[runtime local datetime]</x:v>
      </x:c>
      <x:c r="P180" s="27" t="str">
        <x:v>[runtime orb]</x:v>
      </x:c>
      <x:c r="Q180" s="27" t="str">
        <x:v>[applying / exact / separating]</x:v>
      </x:c>
      <x:c r="R180" s="27" t="str">
        <x:v>[runtime flags]</x:v>
      </x:c>
      <x:c r="S180" s="27" t="str">
        <x:v>Write one integrated collective Sky Calendar forecast for Uranus in [Planet A sign] trine Neptune in [Planet B sign] at [calculated date/time]. Preserve this pair meaning: Disruption and technology meet ideals and collective feeling. New tools can change how people imagine, understand, or respond to a shared problem. For the trine, apply this behavior: The two functions support each other easily. Momentum is available with less resistance, which helps progress but can let a weak assumption travel farther. Use the Planet A sign to change how Uranus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0" s="27" t="str">
        <x:v>A new tool may make a distant human reality easier to understand without turning the people living through it into content. Uranus trine Neptune can help technology and empathy support each other, especially when artists, organizers, or mutual-aid networks use new formats to share testimony, route money, or coordinate help. The platform works best when it stays in service to the people at the center. Keep consent, attribution, and the practical purpose visible. If the technology becomes the most interesting part of the story, the work has probably drifted from what it was meant to help.</x:v>
      </x:c>
      <x:c r="U180" s="27" t="str"/>
      <x:c r="V180" s="27" t="str">
        <x:v>READY FOR RUNTIME</x:v>
      </x:c>
    </x:row>
    <x:row r="181">
      <x:c r="A181" s="27" t="n">
        <x:v>180</x:v>
      </x:c>
      <x:c r="B181" s="27" t="str">
        <x:v>sky.uranus.sextile.neptune</x:v>
      </x:c>
      <x:c r="C181" s="27" t="str">
        <x:v>uranus</x:v>
      </x:c>
      <x:c r="D181" s="27" t="str">
        <x:v>sextile</x:v>
      </x:c>
      <x:c r="E181" s="27" t="str">
        <x:v>neptune</x:v>
      </x:c>
      <x:c r="F181" s="27" t="str">
        <x:v>uranus|neptune</x:v>
      </x:c>
      <x:c r="G181" s="27" t="str">
        <x:v>Disruption and technology meet ideals and collective feeling. New tools can change how people imagine, understand, or respond to a shared problem.</x:v>
      </x:c>
      <x:c r="H181" s="27" t="str">
        <x:v>A workable opening appears between the two functions. The opportunity is useful but not automatic; someone still has to notice it and make the specific move.</x:v>
      </x:c>
      <x:c r="I181" s="27" t="str">
        <x:v>A supportive opening becomes available; offered, not automatic.</x:v>
      </x:c>
      <x:c r="J181" s="27" t="str">
        <x:v>The opening closes; unused, it passes.</x:v>
      </x:c>
      <x:c r="K181" s="27" t="str">
        <x:v>[runtime sign]</x:v>
      </x:c>
      <x:c r="L181" s="27" t="str">
        <x:v>[lookup Body|Sign]</x:v>
      </x:c>
      <x:c r="M181" s="27" t="str">
        <x:v>[runtime sign]</x:v>
      </x:c>
      <x:c r="N181" s="27" t="str">
        <x:v>[lookup Body|Sign]</x:v>
      </x:c>
      <x:c r="O181" s="27" t="str">
        <x:v>[runtime local datetime]</x:v>
      </x:c>
      <x:c r="P181" s="27" t="str">
        <x:v>[runtime orb]</x:v>
      </x:c>
      <x:c r="Q181" s="27" t="str">
        <x:v>[applying / exact / separating]</x:v>
      </x:c>
      <x:c r="R181" s="27" t="str">
        <x:v>[runtime flags]</x:v>
      </x:c>
      <x:c r="S181" s="27" t="str">
        <x:v>Write one integrated collective Sky Calendar forecast for Uranus in [Planet A sign] sextile Neptune in [Planet B sign] at [calculated date/time]. Preserve this pair meaning: Disruption and technology meet ideals and collective feeling. New tools can change how people imagine, understand, or respond to a shared problem. For the sextile, apply this behavior: A workable opening appears between the two functions. The opportunity is useful but not automatic; someone still has to notice it and make the specific move. Use the Planet A sign to change how Uranus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1" s="27" t="str">
        <x:v>A new platform may give a neglected need a route around the institutions that kept missing it. Uranus sextile Neptune can open an unconventional channel between people who need support and people willing to provide it, especially through unfamiliar technology, creative formats, or decentralized networks. Attention alone is not the result. Build enough trust for people to use the route safely, and make the next step obvious once they arrive. The innovation matters because it connects someone to money, information, care, or access they could not reach before.</x:v>
      </x:c>
      <x:c r="U181" s="27" t="str"/>
      <x:c r="V181" s="27" t="str">
        <x:v>READY FOR RUNTIME</x:v>
      </x:c>
    </x:row>
    <x:row r="182">
      <x:c r="A182" s="27" t="n">
        <x:v>181</x:v>
      </x:c>
      <x:c r="B182" s="27" t="str">
        <x:v>sky.uranus.conjunction.pluto</x:v>
      </x:c>
      <x:c r="C182" s="27" t="str">
        <x:v>uranus</x:v>
      </x:c>
      <x:c r="D182" s="27" t="str">
        <x:v>conjunction</x:v>
      </x:c>
      <x:c r="E182" s="27" t="str">
        <x:v>pluto</x:v>
      </x:c>
      <x:c r="F182" s="27" t="str">
        <x:v>uranus|pluto</x:v>
      </x:c>
      <x:c r="G182" s="27" t="str">
        <x:v>Disruption meets structural power. Technology, ownership, or system change redistributes who has access, control, and the ability to decide.</x:v>
      </x:c>
      <x:c r="H182" s="27" t="str">
        <x:v>The two functions operate inside the same event. Benefit and complication arrive together, so separating one from the other is difficult.</x:v>
      </x:c>
      <x:c r="I182" s="27" t="str">
        <x:v>The two fuse and intensify as they close in.</x:v>
      </x:c>
      <x:c r="J182" s="27" t="str">
        <x:v>The fused theme peaks and discharges.</x:v>
      </x:c>
      <x:c r="K182" s="27" t="str">
        <x:v>[runtime sign]</x:v>
      </x:c>
      <x:c r="L182" s="27" t="str">
        <x:v>[lookup Body|Sign]</x:v>
      </x:c>
      <x:c r="M182" s="27" t="str">
        <x:v>[runtime sign]</x:v>
      </x:c>
      <x:c r="N182" s="27" t="str">
        <x:v>[lookup Body|Sign]</x:v>
      </x:c>
      <x:c r="O182" s="27" t="str">
        <x:v>[runtime local datetime]</x:v>
      </x:c>
      <x:c r="P182" s="27" t="str">
        <x:v>[runtime orb]</x:v>
      </x:c>
      <x:c r="Q182" s="27" t="str">
        <x:v>[applying / exact / separating]</x:v>
      </x:c>
      <x:c r="R182" s="27" t="str">
        <x:v>[runtime flags]</x:v>
      </x:c>
      <x:c r="S182" s="27" t="str">
        <x:v>Write one integrated collective Sky Calendar forecast for Uranus in [Planet A sign] conjunction Pluto in [Planet B sign] at [calculated date/time]. Preserve this pair meaning: Disruption meets structural power. Technology, ownership, or system change redistributes who has access, control, and the ability to decide. For the conjunction, apply this behavior: The two functions operate inside the same event. Benefit and complication arrive together, so separating one from the other is difficult. Use the Planet A sign to change how Uranus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2" s="27" t="str">
        <x:v>A platform collapse, ownership fight, market seizure, or technical break can move authority at the same moment the old structure fails. Uranus conjunct Pluto can make disruption and a transfer of power happen so quickly that everyone is focused on what ended before noticing who now controls the replacement. Breaking the gate does not guarantee open access. Follow the data, ownership, pricing, and enforcement into the new system. If the same concentration of power appears under a different interface, the replacement changed the route more than the power structure.</x:v>
      </x:c>
      <x:c r="U182" s="27" t="str"/>
      <x:c r="V182" s="27" t="str">
        <x:v>READY FOR RUNTIME</x:v>
      </x:c>
    </x:row>
    <x:row r="183">
      <x:c r="A183" s="27" t="n">
        <x:v>182</x:v>
      </x:c>
      <x:c r="B183" s="27" t="str">
        <x:v>sky.uranus.opposition.pluto</x:v>
      </x:c>
      <x:c r="C183" s="27" t="str">
        <x:v>uranus</x:v>
      </x:c>
      <x:c r="D183" s="27" t="str">
        <x:v>opposition</x:v>
      </x:c>
      <x:c r="E183" s="27" t="str">
        <x:v>pluto</x:v>
      </x:c>
      <x:c r="F183" s="27" t="str">
        <x:v>uranus|pluto</x:v>
      </x:c>
      <x:c r="G183" s="27" t="str">
        <x:v>Disruption meets structural power. Technology, ownership, or system change redistributes who has access, control, and the ability to decide.</x:v>
      </x:c>
      <x:c r="H183" s="27" t="str">
        <x:v>Two needs or positions face each other directly through different people, roles, institutions, or requirements. The tradeoff has to become explicit.</x:v>
      </x:c>
      <x:c r="I183" s="27" t="str">
        <x:v>A confrontation builds; the other side comes fully into view.</x:v>
      </x:c>
      <x:c r="J183" s="27" t="str">
        <x:v>The standoff resolves into balance or a split.</x:v>
      </x:c>
      <x:c r="K183" s="27" t="str">
        <x:v>[runtime sign]</x:v>
      </x:c>
      <x:c r="L183" s="27" t="str">
        <x:v>[lookup Body|Sign]</x:v>
      </x:c>
      <x:c r="M183" s="27" t="str">
        <x:v>[runtime sign]</x:v>
      </x:c>
      <x:c r="N183" s="27" t="str">
        <x:v>[lookup Body|Sign]</x:v>
      </x:c>
      <x:c r="O183" s="27" t="str">
        <x:v>[runtime local datetime]</x:v>
      </x:c>
      <x:c r="P183" s="27" t="str">
        <x:v>[runtime orb]</x:v>
      </x:c>
      <x:c r="Q183" s="27" t="str">
        <x:v>[applying / exact / separating]</x:v>
      </x:c>
      <x:c r="R183" s="27" t="str">
        <x:v>[runtime flags]</x:v>
      </x:c>
      <x:c r="S183" s="27" t="str">
        <x:v>Write one integrated collective Sky Calendar forecast for Uranus in [Planet A sign] opposition Pluto in [Planet B sign] at [calculated date/time]. Preserve this pair meaning: Disruption meets structural power. Technology, ownership, or system change redistributes who has access, control, and the ability to decide. For the opposition, apply this behavior: Two needs or positions face each other directly through different people, roles, institutions, or requirements. The tradeoff has to become explicit. Use the Planet A sign to change how Uranus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3" s="27" t="str">
        <x:v>A movement demanding open access may run directly into the institution that still owns the infrastructure underneath it. Uranus opposite Pluto can expose how far decentralization can go when another party controls the servers, money, licensing, data, or legal consequences required to keep the route open. Freedom at the user level can coexist with concentrated power underneath it. Name that dependency before calling the system decentralized. Check who can enter today and who still has the power to close the door tomorrow.</x:v>
      </x:c>
      <x:c r="U183" s="27" t="str"/>
      <x:c r="V183" s="27" t="str">
        <x:v>READY FOR RUNTIME</x:v>
      </x:c>
    </x:row>
    <x:row r="184">
      <x:c r="A184" s="27" t="n">
        <x:v>183</x:v>
      </x:c>
      <x:c r="B184" s="27" t="str">
        <x:v>sky.uranus.square.pluto</x:v>
      </x:c>
      <x:c r="C184" s="27" t="str">
        <x:v>uranus</x:v>
      </x:c>
      <x:c r="D184" s="27" t="str">
        <x:v>square</x:v>
      </x:c>
      <x:c r="E184" s="27" t="str">
        <x:v>pluto</x:v>
      </x:c>
      <x:c r="F184" s="27" t="str">
        <x:v>uranus|pluto</x:v>
      </x:c>
      <x:c r="G184" s="27" t="str">
        <x:v>Disruption meets structural power. Technology, ownership, or system change redistributes who has access, control, and the ability to decide.</x:v>
      </x:c>
      <x:c r="H184" s="27" t="str">
        <x:v>Friction makes the problem difficult to keep absorbing. Pressure repeats or escalates until the plan, rule, behavior, or distribution of responsibility changes.</x:v>
      </x:c>
      <x:c r="I184" s="27" t="str">
        <x:v>Friction builds toward a forced adjustment.</x:v>
      </x:c>
      <x:c r="J184" s="27" t="str">
        <x:v>The crisis passes; what was restructured settles.</x:v>
      </x:c>
      <x:c r="K184" s="27" t="str">
        <x:v>[runtime sign]</x:v>
      </x:c>
      <x:c r="L184" s="27" t="str">
        <x:v>[lookup Body|Sign]</x:v>
      </x:c>
      <x:c r="M184" s="27" t="str">
        <x:v>[runtime sign]</x:v>
      </x:c>
      <x:c r="N184" s="27" t="str">
        <x:v>[lookup Body|Sign]</x:v>
      </x:c>
      <x:c r="O184" s="27" t="str">
        <x:v>[runtime local datetime]</x:v>
      </x:c>
      <x:c r="P184" s="27" t="str">
        <x:v>[runtime orb]</x:v>
      </x:c>
      <x:c r="Q184" s="27" t="str">
        <x:v>[applying / exact / separating]</x:v>
      </x:c>
      <x:c r="R184" s="27" t="str">
        <x:v>[runtime flags]</x:v>
      </x:c>
      <x:c r="S184" s="27" t="str">
        <x:v>Write one integrated collective Sky Calendar forecast for Uranus in [Planet A sign] square Pluto in [Planet B sign] at [calculated date/time]. Preserve this pair meaning: Disruption meets structural power. Technology, ownership, or system change redistributes who has access, control, and the ability to decide. For the square, apply this behavior: Friction makes the problem difficult to keep absorbing. Pressure repeats or escalates until the plan, rule, behavior, or distribution of responsibility changes. Use the Planet A sign to change how Uranus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4" s="27" t="str">
        <x:v>A disruptive technology can break one gatekeeping system and immediately create a new fight over who owns the replacement. Uranus square Pluto can make access expand faster than rules around data, pricing, enforcement, or ownership can catch up, leaving a smaller group with more control than the people celebrating the breakthrough expected. Do not mistake a broken gate for the end of gatekeeping. Check who can change the terms, raise the price, remove access, or keep the data. The new system deserves the same scrutiny the old one eventually received.</x:v>
      </x:c>
      <x:c r="U184" s="27" t="str"/>
      <x:c r="V184" s="27" t="str">
        <x:v>READY FOR RUNTIME</x:v>
      </x:c>
    </x:row>
    <x:row r="185">
      <x:c r="A185" s="27" t="n">
        <x:v>184</x:v>
      </x:c>
      <x:c r="B185" s="27" t="str">
        <x:v>sky.uranus.trine.pluto</x:v>
      </x:c>
      <x:c r="C185" s="27" t="str">
        <x:v>uranus</x:v>
      </x:c>
      <x:c r="D185" s="27" t="str">
        <x:v>trine</x:v>
      </x:c>
      <x:c r="E185" s="27" t="str">
        <x:v>pluto</x:v>
      </x:c>
      <x:c r="F185" s="27" t="str">
        <x:v>uranus|pluto</x:v>
      </x:c>
      <x:c r="G185" s="27" t="str">
        <x:v>Disruption meets structural power. Technology, ownership, or system change redistributes who has access, control, and the ability to decide.</x:v>
      </x:c>
      <x:c r="H185" s="27" t="str">
        <x:v>The two functions support each other easily. Momentum is available with less resistance, which helps progress but can let a weak assumption travel farther.</x:v>
      </x:c>
      <x:c r="I185" s="27" t="str">
        <x:v>Ease and support build and arrive on their own.</x:v>
      </x:c>
      <x:c r="J185" s="27" t="str">
        <x:v>The ease withdraws; the flow passes, used or not.</x:v>
      </x:c>
      <x:c r="K185" s="27" t="str">
        <x:v>[runtime sign]</x:v>
      </x:c>
      <x:c r="L185" s="27" t="str">
        <x:v>[lookup Body|Sign]</x:v>
      </x:c>
      <x:c r="M185" s="27" t="str">
        <x:v>[runtime sign]</x:v>
      </x:c>
      <x:c r="N185" s="27" t="str">
        <x:v>[lookup Body|Sign]</x:v>
      </x:c>
      <x:c r="O185" s="27" t="str">
        <x:v>[runtime local datetime]</x:v>
      </x:c>
      <x:c r="P185" s="27" t="str">
        <x:v>[runtime orb]</x:v>
      </x:c>
      <x:c r="Q185" s="27" t="str">
        <x:v>[applying / exact / separating]</x:v>
      </x:c>
      <x:c r="R185" s="27" t="str">
        <x:v>[runtime flags]</x:v>
      </x:c>
      <x:c r="S185" s="27" t="str">
        <x:v>Write one integrated collective Sky Calendar forecast for Uranus in [Planet A sign] trine Pluto in [Planet B sign] at [calculated date/time]. Preserve this pair meaning: Disruption meets structural power. Technology, ownership, or system change redistributes who has access, control, and the ability to decide. For the trine, apply this behavior: The two functions support each other easily. Momentum is available with less resistance, which helps progress but can let a weak assumption travel farther. Use the Planet A sign to change how Uranus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5" s="27" t="str">
        <x:v>A quiet infrastructure overhaul can shift power without forcing everyone through a public crisis first. Uranus trine Pluto can help technology, ownership, and authority change together when the work has been planned around cost, deadlines, and the people who still need the system to function every day. The strongest reform may look boring from the outside. Let it. Measure the change by who can now access the tool, make a decision, or move without asking the old gatekeeper for permission.</x:v>
      </x:c>
      <x:c r="U185" s="27" t="str"/>
      <x:c r="V185" s="27" t="str">
        <x:v>READY FOR RUNTIME</x:v>
      </x:c>
    </x:row>
    <x:row r="186">
      <x:c r="A186" s="27" t="n">
        <x:v>185</x:v>
      </x:c>
      <x:c r="B186" s="27" t="str">
        <x:v>sky.uranus.sextile.pluto</x:v>
      </x:c>
      <x:c r="C186" s="27" t="str">
        <x:v>uranus</x:v>
      </x:c>
      <x:c r="D186" s="27" t="str">
        <x:v>sextile</x:v>
      </x:c>
      <x:c r="E186" s="27" t="str">
        <x:v>pluto</x:v>
      </x:c>
      <x:c r="F186" s="27" t="str">
        <x:v>uranus|pluto</x:v>
      </x:c>
      <x:c r="G186" s="27" t="str">
        <x:v>Disruption meets structural power. Technology, ownership, or system change redistributes who has access, control, and the ability to decide.</x:v>
      </x:c>
      <x:c r="H186" s="27" t="str">
        <x:v>A workable opening appears between the two functions. The opportunity is useful but not automatic; someone still has to notice it and make the specific move.</x:v>
      </x:c>
      <x:c r="I186" s="27" t="str">
        <x:v>A supportive opening becomes available; offered, not automatic.</x:v>
      </x:c>
      <x:c r="J186" s="27" t="str">
        <x:v>The opening closes; unused, it passes.</x:v>
      </x:c>
      <x:c r="K186" s="27" t="str">
        <x:v>[runtime sign]</x:v>
      </x:c>
      <x:c r="L186" s="27" t="str">
        <x:v>[lookup Body|Sign]</x:v>
      </x:c>
      <x:c r="M186" s="27" t="str">
        <x:v>[runtime sign]</x:v>
      </x:c>
      <x:c r="N186" s="27" t="str">
        <x:v>[lookup Body|Sign]</x:v>
      </x:c>
      <x:c r="O186" s="27" t="str">
        <x:v>[runtime local datetime]</x:v>
      </x:c>
      <x:c r="P186" s="27" t="str">
        <x:v>[runtime orb]</x:v>
      </x:c>
      <x:c r="Q186" s="27" t="str">
        <x:v>[applying / exact / separating]</x:v>
      </x:c>
      <x:c r="R186" s="27" t="str">
        <x:v>[runtime flags]</x:v>
      </x:c>
      <x:c r="S186" s="27" t="str">
        <x:v>Write one integrated collective Sky Calendar forecast for Uranus in [Planet A sign] sextile Pluto in [Planet B sign] at [calculated date/time]. Preserve this pair meaning: Disruption meets structural power. Technology, ownership, or system change redistributes who has access, control, and the ability to decide. For the sextile, apply this behavior: A workable opening appears between the two functions. The opportunity is useful but not automatic; someone still has to notice it and make the specific move. Use the Planet A sign to change how Uranus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6" s="27" t="str">
        <x:v>One legal opening, technical update, or ownership change may give ordinary users access to tools that used to sit behind a gatekeeper. Uranus sextile Pluto can create a practical chance to move power closer to the people actually using the system, but the opening is only useful if the access changes with it. Rewrite the permissions, ownership, or decision rights while the route is open. A reform has gone far enough when people can point to what they are now allowed to enter, control, or leave without asking the same authority as before.</x:v>
      </x:c>
      <x:c r="U186" s="27" t="str"/>
      <x:c r="V186" s="27" t="str">
        <x:v>READY FOR RUNTIME</x:v>
      </x:c>
    </x:row>
    <x:row r="187">
      <x:c r="A187" s="27" t="n">
        <x:v>186</x:v>
      </x:c>
      <x:c r="B187" s="27" t="str">
        <x:v>sky.venus.conjunction.jupiter</x:v>
      </x:c>
      <x:c r="C187" s="27" t="str">
        <x:v>venus</x:v>
      </x:c>
      <x:c r="D187" s="27" t="str">
        <x:v>conjunction</x:v>
      </x:c>
      <x:c r="E187" s="27" t="str">
        <x:v>jupiter</x:v>
      </x:c>
      <x:c r="F187" s="27" t="str">
        <x:v>venus|jupiter</x:v>
      </x:c>
      <x:c r="G187" s="27" t="str">
        <x:v>Value, relationship, and money meet expansion. Generosity, opportunity, pleasure, spending, or public support becomes easier to enlarge.</x:v>
      </x:c>
      <x:c r="H187" s="27" t="str">
        <x:v>The two functions operate inside the same event. Benefit and complication arrive together, so separating one from the other is difficult.</x:v>
      </x:c>
      <x:c r="I187" s="27" t="str">
        <x:v>The two fuse and intensify as they close in.</x:v>
      </x:c>
      <x:c r="J187" s="27" t="str">
        <x:v>The fused theme peaks and discharges.</x:v>
      </x:c>
      <x:c r="K187" s="27" t="str">
        <x:v>[runtime sign]</x:v>
      </x:c>
      <x:c r="L187" s="27" t="str">
        <x:v>[lookup Body|Sign]</x:v>
      </x:c>
      <x:c r="M187" s="27" t="str">
        <x:v>[runtime sign]</x:v>
      </x:c>
      <x:c r="N187" s="27" t="str">
        <x:v>[lookup Body|Sign]</x:v>
      </x:c>
      <x:c r="O187" s="27" t="str">
        <x:v>[runtime local datetime]</x:v>
      </x:c>
      <x:c r="P187" s="27" t="str">
        <x:v>[runtime orb]</x:v>
      </x:c>
      <x:c r="Q187" s="27" t="str">
        <x:v>[applying / exact / separating]</x:v>
      </x:c>
      <x:c r="R187" s="27" t="str">
        <x:v>[runtime flags]</x:v>
      </x:c>
      <x:c r="S187" s="27" t="str">
        <x:v>Write one integrated collective Sky Calendar forecast for Venus in [Planet A sign] conjunction Jupiter in [Planet B sign] at [calculated date/time]. Preserve this pair meaning: Value, relationship, and money meet expansion. Generosity, opportunity, pleasure, spending, or public support becomes easier to enlarge. For the conjunction, apply this behavior: The two functions operate inside the same event. Benefit and complication arrive together, so separating one from the other is difficult. Use the Planet A sign to change how Venus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7" s="27" t="str">
        <x:v>Every enthusiastic yes can make the party, purchase, or promise larger than the version anyone originally agreed to pay for. Venus conjunct Jupiter can make pleasure and generosity feed each other until another guest, upgrade, gift, or public promise feels too good to refuse. The problem usually appears on the bill, the schedule, or the person expected to keep the experience feeling abundant. Enjoy the expansion, but name the limit while the choices are still optional. Generosity gets less generous once somebody else is quietly financing it with their money or time.</x:v>
      </x:c>
      <x:c r="U187" s="27" t="str"/>
      <x:c r="V187" s="27" t="str">
        <x:v>READY FOR RUNTIME</x:v>
      </x:c>
    </x:row>
    <x:row r="188">
      <x:c r="A188" s="27" t="n">
        <x:v>187</x:v>
      </x:c>
      <x:c r="B188" s="27" t="str">
        <x:v>sky.venus.opposition.jupiter</x:v>
      </x:c>
      <x:c r="C188" s="27" t="str">
        <x:v>venus</x:v>
      </x:c>
      <x:c r="D188" s="27" t="str">
        <x:v>opposition</x:v>
      </x:c>
      <x:c r="E188" s="27" t="str">
        <x:v>jupiter</x:v>
      </x:c>
      <x:c r="F188" s="27" t="str">
        <x:v>venus|jupiter</x:v>
      </x:c>
      <x:c r="G188" s="27" t="str">
        <x:v>Value, relationship, and money meet expansion. Generosity, opportunity, pleasure, spending, or public support becomes easier to enlarge.</x:v>
      </x:c>
      <x:c r="H188" s="27" t="str">
        <x:v>Two needs or positions face each other directly through different people, roles, institutions, or requirements. The tradeoff has to become explicit.</x:v>
      </x:c>
      <x:c r="I188" s="27" t="str">
        <x:v>A confrontation builds; the other side comes fully into view.</x:v>
      </x:c>
      <x:c r="J188" s="27" t="str">
        <x:v>The standoff resolves into balance or a split.</x:v>
      </x:c>
      <x:c r="K188" s="27" t="str">
        <x:v>[runtime sign]</x:v>
      </x:c>
      <x:c r="L188" s="27" t="str">
        <x:v>[lookup Body|Sign]</x:v>
      </x:c>
      <x:c r="M188" s="27" t="str">
        <x:v>[runtime sign]</x:v>
      </x:c>
      <x:c r="N188" s="27" t="str">
        <x:v>[lookup Body|Sign]</x:v>
      </x:c>
      <x:c r="O188" s="27" t="str">
        <x:v>[runtime local datetime]</x:v>
      </x:c>
      <x:c r="P188" s="27" t="str">
        <x:v>[runtime orb]</x:v>
      </x:c>
      <x:c r="Q188" s="27" t="str">
        <x:v>[applying / exact / separating]</x:v>
      </x:c>
      <x:c r="R188" s="27" t="str">
        <x:v>[runtime flags]</x:v>
      </x:c>
      <x:c r="S188" s="27" t="str">
        <x:v>Write one integrated collective Sky Calendar forecast for Venus in [Planet A sign] opposition Jupiter in [Planet B sign] at [calculated date/time]. Preserve this pair meaning: Value, relationship, and money meet expansion. Generosity, opportunity, pleasure, spending, or public support becomes easier to enlarge. For the opposition, apply this behavior: Two needs or positions face each other directly through different people, roles, institutions, or requirements. The tradeoff has to become explicit. Use the Planet A sign to change how Venus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8" s="27" t="str">
        <x:v>A generous public offer may be impossible to extend to everyone under the same terms. Venus opposite Jupiter can put the desire to include more people directly against the budget, inventory, or prior agreements that already determine who gets what. Expanding the benefit can be worthwhile. It should not happen by quietly taking from the people who were promised a share first. Put the cost of the larger offer on the table. If growth requires someone else's portion to shrink, say that before calling the change generosity.</x:v>
      </x:c>
      <x:c r="U188" s="27" t="str"/>
      <x:c r="V188" s="27" t="str">
        <x:v>READY FOR RUNTIME</x:v>
      </x:c>
    </x:row>
    <x:row r="189">
      <x:c r="A189" s="27" t="n">
        <x:v>188</x:v>
      </x:c>
      <x:c r="B189" s="27" t="str">
        <x:v>sky.venus.square.jupiter</x:v>
      </x:c>
      <x:c r="C189" s="27" t="str">
        <x:v>venus</x:v>
      </x:c>
      <x:c r="D189" s="27" t="str">
        <x:v>square</x:v>
      </x:c>
      <x:c r="E189" s="27" t="str">
        <x:v>jupiter</x:v>
      </x:c>
      <x:c r="F189" s="27" t="str">
        <x:v>venus|jupiter</x:v>
      </x:c>
      <x:c r="G189" s="27" t="str">
        <x:v>Value, relationship, and money meet expansion. Generosity, opportunity, pleasure, spending, or public support becomes easier to enlarge.</x:v>
      </x:c>
      <x:c r="H189" s="27" t="str">
        <x:v>Friction makes the problem difficult to keep absorbing. Pressure repeats or escalates until the plan, rule, behavior, or distribution of responsibility changes.</x:v>
      </x:c>
      <x:c r="I189" s="27" t="str">
        <x:v>Friction builds toward a forced adjustment.</x:v>
      </x:c>
      <x:c r="J189" s="27" t="str">
        <x:v>The crisis passes; what was restructured settles.</x:v>
      </x:c>
      <x:c r="K189" s="27" t="str">
        <x:v>[runtime sign]</x:v>
      </x:c>
      <x:c r="L189" s="27" t="str">
        <x:v>[lookup Body|Sign]</x:v>
      </x:c>
      <x:c r="M189" s="27" t="str">
        <x:v>[runtime sign]</x:v>
      </x:c>
      <x:c r="N189" s="27" t="str">
        <x:v>[lookup Body|Sign]</x:v>
      </x:c>
      <x:c r="O189" s="27" t="str">
        <x:v>[runtime local datetime]</x:v>
      </x:c>
      <x:c r="P189" s="27" t="str">
        <x:v>[runtime orb]</x:v>
      </x:c>
      <x:c r="Q189" s="27" t="str">
        <x:v>[applying / exact / separating]</x:v>
      </x:c>
      <x:c r="R189" s="27" t="str">
        <x:v>[runtime flags]</x:v>
      </x:c>
      <x:c r="S189" s="27" t="str">
        <x:v>Write one integrated collective Sky Calendar forecast for Venus in [Planet A sign] square Jupiter in [Planet B sign] at [calculated date/time]. Preserve this pair meaning: Value, relationship, and money meet expansion. Generosity, opportunity, pleasure, spending, or public support becomes easier to enlarge. For the square, apply this behavior: Friction makes the problem difficult to keep absorbing. Pressure repeats or escalates until the plan, rule, behavior, or distribution of responsibility changes. Use the Planet A sign to change how Venus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89" s="27" t="str">
        <x:v>The event, purchase, or promise may get more expensive every time someone adds one more good idea. Venus square Jupiter can make upgrades, guests, gifts, and expectations pile onto a budget that still belongs to the smaller plan. The result can look generous while one person is carrying the overage in money, hours, or cleanup. Stop adding before the pleasure becomes another obligation nobody agreed to fund. Compare the current price and workload with the original yes, then decide what still belongs in the plan.</x:v>
      </x:c>
      <x:c r="U189" s="27" t="str"/>
      <x:c r="V189" s="27" t="str">
        <x:v>READY FOR RUNTIME</x:v>
      </x:c>
    </x:row>
    <x:row r="190">
      <x:c r="A190" s="27" t="n">
        <x:v>189</x:v>
      </x:c>
      <x:c r="B190" s="27" t="str">
        <x:v>sky.venus.trine.jupiter</x:v>
      </x:c>
      <x:c r="C190" s="27" t="str">
        <x:v>venus</x:v>
      </x:c>
      <x:c r="D190" s="27" t="str">
        <x:v>trine</x:v>
      </x:c>
      <x:c r="E190" s="27" t="str">
        <x:v>jupiter</x:v>
      </x:c>
      <x:c r="F190" s="27" t="str">
        <x:v>venus|jupiter</x:v>
      </x:c>
      <x:c r="G190" s="27" t="str">
        <x:v>Value, relationship, and money meet expansion. Generosity, opportunity, pleasure, spending, or public support becomes easier to enlarge.</x:v>
      </x:c>
      <x:c r="H190" s="27" t="str">
        <x:v>The two functions support each other easily. Momentum is available with less resistance, which helps progress but can let a weak assumption travel farther.</x:v>
      </x:c>
      <x:c r="I190" s="27" t="str">
        <x:v>Ease and support build and arrive on their own.</x:v>
      </x:c>
      <x:c r="J190" s="27" t="str">
        <x:v>The ease withdraws; the flow passes, used or not.</x:v>
      </x:c>
      <x:c r="K190" s="27" t="str">
        <x:v>[runtime sign]</x:v>
      </x:c>
      <x:c r="L190" s="27" t="str">
        <x:v>[lookup Body|Sign]</x:v>
      </x:c>
      <x:c r="M190" s="27" t="str">
        <x:v>[runtime sign]</x:v>
      </x:c>
      <x:c r="N190" s="27" t="str">
        <x:v>[lookup Body|Sign]</x:v>
      </x:c>
      <x:c r="O190" s="27" t="str">
        <x:v>[runtime local datetime]</x:v>
      </x:c>
      <x:c r="P190" s="27" t="str">
        <x:v>[runtime orb]</x:v>
      </x:c>
      <x:c r="Q190" s="27" t="str">
        <x:v>[applying / exact / separating]</x:v>
      </x:c>
      <x:c r="R190" s="27" t="str">
        <x:v>[runtime flags]</x:v>
      </x:c>
      <x:c r="S190" s="27" t="str">
        <x:v>Write one integrated collective Sky Calendar forecast for Venus in [Planet A sign] trine Jupiter in [Planet B sign] at [calculated date/time]. Preserve this pair meaning: Value, relationship, and money meet expansion. Generosity, opportunity, pleasure, spending, or public support becomes easier to enlarge. For the trine, apply this behavior: The two functions support each other easily. Momentum is available with less resistance, which helps progress but can let a weak assumption travel farther. Use the Planet A sign to change how Venus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0" s="27" t="str">
        <x:v>Money, goodwill, and public support can arrive around something people are genuinely glad to back. Venus trine Jupiter can make generosity easier to receive and easier to extend, especially when a fundraiser clears its goal, a celebration includes the people who built it, or a partnership grows without reducing anyone's share to make room. Let the good response be good. Then protect what made it worth supporting. Pay the contributors, keep the terms fair, and use the extra resources to widen the benefit rather than decorate the success.</x:v>
      </x:c>
      <x:c r="U190" s="27" t="str"/>
      <x:c r="V190" s="27" t="str">
        <x:v>READY FOR RUNTIME</x:v>
      </x:c>
    </x:row>
    <x:row r="191">
      <x:c r="A191" s="27" t="n">
        <x:v>190</x:v>
      </x:c>
      <x:c r="B191" s="27" t="str">
        <x:v>sky.venus.sextile.jupiter</x:v>
      </x:c>
      <x:c r="C191" s="27" t="str">
        <x:v>venus</x:v>
      </x:c>
      <x:c r="D191" s="27" t="str">
        <x:v>sextile</x:v>
      </x:c>
      <x:c r="E191" s="27" t="str">
        <x:v>jupiter</x:v>
      </x:c>
      <x:c r="F191" s="27" t="str">
        <x:v>venus|jupiter</x:v>
      </x:c>
      <x:c r="G191" s="27" t="str">
        <x:v>Value, relationship, and money meet expansion. Generosity, opportunity, pleasure, spending, or public support becomes easier to enlarge.</x:v>
      </x:c>
      <x:c r="H191" s="27" t="str">
        <x:v>A workable opening appears between the two functions. The opportunity is useful but not automatic; someone still has to notice it and make the specific move.</x:v>
      </x:c>
      <x:c r="I191" s="27" t="str">
        <x:v>A supportive opening becomes available; offered, not automatic.</x:v>
      </x:c>
      <x:c r="J191" s="27" t="str">
        <x:v>The opening closes; unused, it passes.</x:v>
      </x:c>
      <x:c r="K191" s="27" t="str">
        <x:v>[runtime sign]</x:v>
      </x:c>
      <x:c r="L191" s="27" t="str">
        <x:v>[lookup Body|Sign]</x:v>
      </x:c>
      <x:c r="M191" s="27" t="str">
        <x:v>[runtime sign]</x:v>
      </x:c>
      <x:c r="N191" s="27" t="str">
        <x:v>[lookup Body|Sign]</x:v>
      </x:c>
      <x:c r="O191" s="27" t="str">
        <x:v>[runtime local datetime]</x:v>
      </x:c>
      <x:c r="P191" s="27" t="str">
        <x:v>[runtime orb]</x:v>
      </x:c>
      <x:c r="Q191" s="27" t="str">
        <x:v>[applying / exact / separating]</x:v>
      </x:c>
      <x:c r="R191" s="27" t="str">
        <x:v>[runtime flags]</x:v>
      </x:c>
      <x:c r="S191" s="27" t="str">
        <x:v>Write one integrated collective Sky Calendar forecast for Venus in [Planet A sign] sextile Jupiter in [Planet B sign] at [calculated date/time]. Preserve this pair meaning: Value, relationship, and money meet expansion. Generosity, opportunity, pleasure, spending, or public support becomes easier to enlarge. For the sextile, apply this behavior: A workable opening appears between the two functions. The opportunity is useful but not automatic; someone still has to notice it and make the specific move. Use the Planet A sign to change how Venus acts and what situations are plausible. Use the Planet B sign to change what Jupiter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1" s="27" t="str">
        <x:v>A generous offer may reach the right person just as a smaller plan needs room to grow. Venus sextile Jupiter can bring an introduction, extra budget, invitation, or public endorsement that opens a larger social or financial door without requiring the whole project to change direction. Use the help on the part that was actually stuck. Secure the space, make the hire, place the order, or follow the introduction while the offer is active. A good opportunity becomes useful when the added support has a specific job.</x:v>
      </x:c>
      <x:c r="U191" s="27" t="str"/>
      <x:c r="V191" s="27" t="str">
        <x:v>READY FOR RUNTIME</x:v>
      </x:c>
    </x:row>
    <x:row r="192">
      <x:c r="A192" s="27" t="n">
        <x:v>191</x:v>
      </x:c>
      <x:c r="B192" s="27" t="str">
        <x:v>sky.venus.conjunction.mars</x:v>
      </x:c>
      <x:c r="C192" s="27" t="str">
        <x:v>venus</x:v>
      </x:c>
      <x:c r="D192" s="27" t="str">
        <x:v>conjunction</x:v>
      </x:c>
      <x:c r="E192" s="27" t="str">
        <x:v>mars</x:v>
      </x:c>
      <x:c r="F192" s="27" t="str">
        <x:v>venus|mars</x:v>
      </x:c>
      <x:c r="G192" s="27" t="str">
        <x:v>Value and attraction meet action. Desire becomes initiative, negotiation, pursuit, or visible contribution.</x:v>
      </x:c>
      <x:c r="H192" s="27" t="str">
        <x:v>The two functions operate inside the same event. Benefit and complication arrive together, so separating one from the other is difficult.</x:v>
      </x:c>
      <x:c r="I192" s="27" t="str">
        <x:v>The two fuse and intensify as they close in.</x:v>
      </x:c>
      <x:c r="J192" s="27" t="str">
        <x:v>The fused theme peaks and discharges.</x:v>
      </x:c>
      <x:c r="K192" s="27" t="str">
        <x:v>[runtime sign]</x:v>
      </x:c>
      <x:c r="L192" s="27" t="str">
        <x:v>[lookup Body|Sign]</x:v>
      </x:c>
      <x:c r="M192" s="27" t="str">
        <x:v>[runtime sign]</x:v>
      </x:c>
      <x:c r="N192" s="27" t="str">
        <x:v>[lookup Body|Sign]</x:v>
      </x:c>
      <x:c r="O192" s="27" t="str">
        <x:v>[runtime local datetime]</x:v>
      </x:c>
      <x:c r="P192" s="27" t="str">
        <x:v>[runtime orb]</x:v>
      </x:c>
      <x:c r="Q192" s="27" t="str">
        <x:v>[applying / exact / separating]</x:v>
      </x:c>
      <x:c r="R192" s="27" t="str">
        <x:v>[runtime flags]</x:v>
      </x:c>
      <x:c r="S192" s="27" t="str">
        <x:v>Write one integrated collective Sky Calendar forecast for Venus in [Planet A sign] conjunction Mars in [Planet B sign] at [calculated date/time]. Preserve this pair meaning: Value and attraction meet action. Desire becomes initiative, negotiation, pursuit, or visible contribution. For the conjunction, apply this behavior: The two functions operate inside the same event. Benefit and complication arrive together, so separating one from the other is difficult. Use the Planet A sign to change how Venus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2" s="27" t="str">
        <x:v>An offer and the move to claim it can happen in the same moment. Venus conjunct Mars can make attraction, money, creativity, or agreement move from interest to action before either side has time to hide behind polite ambiguity. A bid gets placed. An invitation is accepted. A private attraction becomes a public choice. The spark is not the whole agreement. After the first move, confirm that both sides still want the same price, pace, role, or outcome before momentum starts deciding the terms on their behalf.</x:v>
      </x:c>
      <x:c r="U192" s="27" t="str"/>
      <x:c r="V192" s="27" t="str">
        <x:v>READY FOR RUNTIME</x:v>
      </x:c>
    </x:row>
    <x:row r="193">
      <x:c r="A193" s="27" t="n">
        <x:v>192</x:v>
      </x:c>
      <x:c r="B193" s="27" t="str">
        <x:v>sky.venus.opposition.mars</x:v>
      </x:c>
      <x:c r="C193" s="27" t="str">
        <x:v>venus</x:v>
      </x:c>
      <x:c r="D193" s="27" t="str">
        <x:v>opposition</x:v>
      </x:c>
      <x:c r="E193" s="27" t="str">
        <x:v>mars</x:v>
      </x:c>
      <x:c r="F193" s="27" t="str">
        <x:v>venus|mars</x:v>
      </x:c>
      <x:c r="G193" s="27" t="str">
        <x:v>Value and attraction meet action. Desire becomes initiative, negotiation, pursuit, or visible contribution.</x:v>
      </x:c>
      <x:c r="H193" s="27" t="str">
        <x:v>Two needs or positions face each other directly through different people, roles, institutions, or requirements. The tradeoff has to become explicit.</x:v>
      </x:c>
      <x:c r="I193" s="27" t="str">
        <x:v>A confrontation builds; the other side comes fully into view.</x:v>
      </x:c>
      <x:c r="J193" s="27" t="str">
        <x:v>The standoff resolves into balance or a split.</x:v>
      </x:c>
      <x:c r="K193" s="27" t="str">
        <x:v>[runtime sign]</x:v>
      </x:c>
      <x:c r="L193" s="27" t="str">
        <x:v>[lookup Body|Sign]</x:v>
      </x:c>
      <x:c r="M193" s="27" t="str">
        <x:v>[runtime sign]</x:v>
      </x:c>
      <x:c r="N193" s="27" t="str">
        <x:v>[lookup Body|Sign]</x:v>
      </x:c>
      <x:c r="O193" s="27" t="str">
        <x:v>[runtime local datetime]</x:v>
      </x:c>
      <x:c r="P193" s="27" t="str">
        <x:v>[runtime orb]</x:v>
      </x:c>
      <x:c r="Q193" s="27" t="str">
        <x:v>[applying / exact / separating]</x:v>
      </x:c>
      <x:c r="R193" s="27" t="str">
        <x:v>[runtime flags]</x:v>
      </x:c>
      <x:c r="S193" s="27" t="str">
        <x:v>Write one integrated collective Sky Calendar forecast for Venus in [Planet A sign] opposition Mars in [Planet B sign] at [calculated date/time]. Preserve this pair meaning: Value and attraction meet action. Desire becomes initiative, negotiation, pursuit, or visible contribution. For the opposition, apply this behavior: Two needs or positions face each other directly through different people, roles, institutions, or requirements. The tradeoff has to become explicit. Use the Planet A sign to change how Venus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3" s="27" t="str">
        <x:v>The person making the offer may face someone who wants different terms and is willing to push for them. Venus opposite Mars can make attraction and conflict share the same negotiation, especially when one side wants cooperation and the other wants a faster answer, a lower price, or more control over the next move. Interest does not erase disagreement. Put the terms where both sides can see them. If the offer only works while one person is chasing and the other is resisting, the chemistry is doing more work than the agreement.</x:v>
      </x:c>
      <x:c r="U193" s="27" t="str"/>
      <x:c r="V193" s="27" t="str">
        <x:v>READY FOR RUNTIME</x:v>
      </x:c>
    </x:row>
    <x:row r="194">
      <x:c r="A194" s="27" t="n">
        <x:v>193</x:v>
      </x:c>
      <x:c r="B194" s="27" t="str">
        <x:v>sky.venus.square.mars</x:v>
      </x:c>
      <x:c r="C194" s="27" t="str">
        <x:v>venus</x:v>
      </x:c>
      <x:c r="D194" s="27" t="str">
        <x:v>square</x:v>
      </x:c>
      <x:c r="E194" s="27" t="str">
        <x:v>mars</x:v>
      </x:c>
      <x:c r="F194" s="27" t="str">
        <x:v>venus|mars</x:v>
      </x:c>
      <x:c r="G194" s="27" t="str">
        <x:v>Value and attraction meet action. Desire becomes initiative, negotiation, pursuit, or visible contribution.</x:v>
      </x:c>
      <x:c r="H194" s="27" t="str">
        <x:v>Friction makes the problem difficult to keep absorbing. Pressure repeats or escalates until the plan, rule, behavior, or distribution of responsibility changes.</x:v>
      </x:c>
      <x:c r="I194" s="27" t="str">
        <x:v>Friction builds toward a forced adjustment.</x:v>
      </x:c>
      <x:c r="J194" s="27" t="str">
        <x:v>The crisis passes; what was restructured settles.</x:v>
      </x:c>
      <x:c r="K194" s="27" t="str">
        <x:v>[runtime sign]</x:v>
      </x:c>
      <x:c r="L194" s="27" t="str">
        <x:v>[lookup Body|Sign]</x:v>
      </x:c>
      <x:c r="M194" s="27" t="str">
        <x:v>[runtime sign]</x:v>
      </x:c>
      <x:c r="N194" s="27" t="str">
        <x:v>[lookup Body|Sign]</x:v>
      </x:c>
      <x:c r="O194" s="27" t="str">
        <x:v>[runtime local datetime]</x:v>
      </x:c>
      <x:c r="P194" s="27" t="str">
        <x:v>[runtime orb]</x:v>
      </x:c>
      <x:c r="Q194" s="27" t="str">
        <x:v>[applying / exact / separating]</x:v>
      </x:c>
      <x:c r="R194" s="27" t="str">
        <x:v>[runtime flags]</x:v>
      </x:c>
      <x:c r="S194" s="27" t="str">
        <x:v>Write one integrated collective Sky Calendar forecast for Venus in [Planet A sign] square Mars in [Planet B sign] at [calculated date/time]. Preserve this pair meaning: Value and attraction meet action. Desire becomes initiative, negotiation, pursuit, or visible contribution. For the square, apply this behavior: Friction makes the problem difficult to keep absorbing. Pressure repeats or escalates until the plan, rule, behavior, or distribution of responsibility changes. Use the Planet A sign to change how Venus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4" s="27" t="str">
        <x:v>A desirable offer can become a fight over who gets to set the pace. Venus square Mars can make an immediate commitment, purchase, answer, or public show of support feel like proof of interest, while the person being rushed starts pulling back simply to regain room to choose. Pressure turns the yes into weaker evidence of agreement. Slow down the part that has become a test. Name the price, date, boundary, or decision that actually needs agreement and give the other side enough space to answer it without having to fight for the right to think.</x:v>
      </x:c>
      <x:c r="U194" s="27" t="str"/>
      <x:c r="V194" s="27" t="str">
        <x:v>READY FOR RUNTIME</x:v>
      </x:c>
    </x:row>
    <x:row r="195">
      <x:c r="A195" s="27" t="n">
        <x:v>194</x:v>
      </x:c>
      <x:c r="B195" s="27" t="str">
        <x:v>sky.venus.trine.mars</x:v>
      </x:c>
      <x:c r="C195" s="27" t="str">
        <x:v>venus</x:v>
      </x:c>
      <x:c r="D195" s="27" t="str">
        <x:v>trine</x:v>
      </x:c>
      <x:c r="E195" s="27" t="str">
        <x:v>mars</x:v>
      </x:c>
      <x:c r="F195" s="27" t="str">
        <x:v>venus|mars</x:v>
      </x:c>
      <x:c r="G195" s="27" t="str">
        <x:v>Value and attraction meet action. Desire becomes initiative, negotiation, pursuit, or visible contribution.</x:v>
      </x:c>
      <x:c r="H195" s="27" t="str">
        <x:v>The two functions support each other easily. Momentum is available with less resistance, which helps progress but can let a weak assumption travel farther.</x:v>
      </x:c>
      <x:c r="I195" s="27" t="str">
        <x:v>Ease and support build and arrive on their own.</x:v>
      </x:c>
      <x:c r="J195" s="27" t="str">
        <x:v>The ease withdraws; the flow passes, used or not.</x:v>
      </x:c>
      <x:c r="K195" s="27" t="str">
        <x:v>[runtime sign]</x:v>
      </x:c>
      <x:c r="L195" s="27" t="str">
        <x:v>[lookup Body|Sign]</x:v>
      </x:c>
      <x:c r="M195" s="27" t="str">
        <x:v>[runtime sign]</x:v>
      </x:c>
      <x:c r="N195" s="27" t="str">
        <x:v>[lookup Body|Sign]</x:v>
      </x:c>
      <x:c r="O195" s="27" t="str">
        <x:v>[runtime local datetime]</x:v>
      </x:c>
      <x:c r="P195" s="27" t="str">
        <x:v>[runtime orb]</x:v>
      </x:c>
      <x:c r="Q195" s="27" t="str">
        <x:v>[applying / exact / separating]</x:v>
      </x:c>
      <x:c r="R195" s="27" t="str">
        <x:v>[runtime flags]</x:v>
      </x:c>
      <x:c r="S195" s="27" t="str">
        <x:v>Write one integrated collective Sky Calendar forecast for Venus in [Planet A sign] trine Mars in [Planet B sign] at [calculated date/time]. Preserve this pair meaning: Value and attraction meet action. Desire becomes initiative, negotiation, pursuit, or visible contribution. For the trine, apply this behavior: The two functions support each other easily. Momentum is available with less resistance, which helps progress but can let a weak assumption travel farther. Use the Planet A sign to change how Venus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5" s="27" t="str">
        <x:v>Interest and effort may finally move in the same direction without turning the exchange into a chase. Venus trine Mars can help payment clear, an invitation land, or a creative partnership begin with both sides contributing what they said they would. The ease comes from reciprocity, not passivity. Keep it that way. Let each person carry a visible part of the work, cost, or initiative so nobody has to keep proving that the agreement matters by doing more than their share.</x:v>
      </x:c>
      <x:c r="U195" s="27" t="str"/>
      <x:c r="V195" s="27" t="str">
        <x:v>READY FOR RUNTIME</x:v>
      </x:c>
    </x:row>
    <x:row r="196">
      <x:c r="A196" s="27" t="n">
        <x:v>195</x:v>
      </x:c>
      <x:c r="B196" s="27" t="str">
        <x:v>sky.venus.sextile.mars</x:v>
      </x:c>
      <x:c r="C196" s="27" t="str">
        <x:v>venus</x:v>
      </x:c>
      <x:c r="D196" s="27" t="str">
        <x:v>sextile</x:v>
      </x:c>
      <x:c r="E196" s="27" t="str">
        <x:v>mars</x:v>
      </x:c>
      <x:c r="F196" s="27" t="str">
        <x:v>venus|mars</x:v>
      </x:c>
      <x:c r="G196" s="27" t="str">
        <x:v>Value and attraction meet action. Desire becomes initiative, negotiation, pursuit, or visible contribution.</x:v>
      </x:c>
      <x:c r="H196" s="27" t="str">
        <x:v>A workable opening appears between the two functions. The opportunity is useful but not automatic; someone still has to notice it and make the specific move.</x:v>
      </x:c>
      <x:c r="I196" s="27" t="str">
        <x:v>A supportive opening becomes available; offered, not automatic.</x:v>
      </x:c>
      <x:c r="J196" s="27" t="str">
        <x:v>The opening closes; unused, it passes.</x:v>
      </x:c>
      <x:c r="K196" s="27" t="str">
        <x:v>[runtime sign]</x:v>
      </x:c>
      <x:c r="L196" s="27" t="str">
        <x:v>[lookup Body|Sign]</x:v>
      </x:c>
      <x:c r="M196" s="27" t="str">
        <x:v>[runtime sign]</x:v>
      </x:c>
      <x:c r="N196" s="27" t="str">
        <x:v>[lookup Body|Sign]</x:v>
      </x:c>
      <x:c r="O196" s="27" t="str">
        <x:v>[runtime local datetime]</x:v>
      </x:c>
      <x:c r="P196" s="27" t="str">
        <x:v>[runtime orb]</x:v>
      </x:c>
      <x:c r="Q196" s="27" t="str">
        <x:v>[applying / exact / separating]</x:v>
      </x:c>
      <x:c r="R196" s="27" t="str">
        <x:v>[runtime flags]</x:v>
      </x:c>
      <x:c r="S196" s="27" t="str">
        <x:v>Write one integrated collective Sky Calendar forecast for Venus in [Planet A sign] sextile Mars in [Planet B sign] at [calculated date/time]. Preserve this pair meaning: Value and attraction meet action. Desire becomes initiative, negotiation, pursuit, or visible contribution. For the sextile, apply this behavior: A workable opening appears between the two functions. The opportunity is useful but not automatic; someone still has to notice it and make the specific move. Use the Planet A sign to change how Venus acts and what situations are plausible. Use the Planet B sign to change what Mars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6" s="27" t="str">
        <x:v>A stalled agreement may move once somebody makes a direct offer the other side can actually answer. Venus sextile Mars can turn vague interest into a price, date, role, boundary, or next step without making the whole exchange confrontational. Do not make the other person guess what action would keep the deal alive. Say what is being offered and what response is needed. One specific move is enough to test if the interest is mutual before anyone spends more time negotiating with a possibility.</x:v>
      </x:c>
      <x:c r="U196" s="27" t="str"/>
      <x:c r="V196" s="27" t="str">
        <x:v>READY FOR RUNTIME</x:v>
      </x:c>
    </x:row>
    <x:row r="197">
      <x:c r="A197" s="27" t="n">
        <x:v>196</x:v>
      </x:c>
      <x:c r="B197" s="27" t="str">
        <x:v>sky.venus.conjunction.neptune</x:v>
      </x:c>
      <x:c r="C197" s="27" t="str">
        <x:v>venus</x:v>
      </x:c>
      <x:c r="D197" s="27" t="str">
        <x:v>conjunction</x:v>
      </x:c>
      <x:c r="E197" s="27" t="str">
        <x:v>neptune</x:v>
      </x:c>
      <x:c r="F197" s="27" t="str">
        <x:v>venus|neptune</x:v>
      </x:c>
      <x:c r="G197" s="27" t="str">
        <x:v>Value and relationship meet idealization and compassion. Beauty and goodwill can inspire generosity or blur the terms people thought they agreed to.</x:v>
      </x:c>
      <x:c r="H197" s="27" t="str">
        <x:v>The two functions operate inside the same event. Benefit and complication arrive together, so separating one from the other is difficult.</x:v>
      </x:c>
      <x:c r="I197" s="27" t="str">
        <x:v>The two fuse and intensify as they close in.</x:v>
      </x:c>
      <x:c r="J197" s="27" t="str">
        <x:v>The fused theme peaks and discharges.</x:v>
      </x:c>
      <x:c r="K197" s="27" t="str">
        <x:v>[runtime sign]</x:v>
      </x:c>
      <x:c r="L197" s="27" t="str">
        <x:v>[lookup Body|Sign]</x:v>
      </x:c>
      <x:c r="M197" s="27" t="str">
        <x:v>[runtime sign]</x:v>
      </x:c>
      <x:c r="N197" s="27" t="str">
        <x:v>[lookup Body|Sign]</x:v>
      </x:c>
      <x:c r="O197" s="27" t="str">
        <x:v>[runtime local datetime]</x:v>
      </x:c>
      <x:c r="P197" s="27" t="str">
        <x:v>[runtime orb]</x:v>
      </x:c>
      <x:c r="Q197" s="27" t="str">
        <x:v>[applying / exact / separating]</x:v>
      </x:c>
      <x:c r="R197" s="27" t="str">
        <x:v>[runtime flags]</x:v>
      </x:c>
      <x:c r="S197" s="27" t="str">
        <x:v>Write one integrated collective Sky Calendar forecast for Venus in [Planet A sign] conjunction Neptune in [Planet B sign] at [calculated date/time]. Preserve this pair meaning: Value and relationship meet idealization and compassion. Beauty and goodwill can inspire generosity or blur the terms people thought they agreed to. For the conjunction, apply this behavior: The two functions operate inside the same event. Benefit and complication arrive together, so separating one from the other is difficult. Use the Planet A sign to change how Venus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7" s="27" t="str">
        <x:v>An offer can become more powerful because each person sees their own hope reflected inside it. Venus conjunct Neptune can make a creative deal, relationship promise, purchase, or charitable appeal feel unusually meaningful while the exact terms stay soft enough for everyone to imagine a different outcome. Beauty and goodwill are not the problem. Unnamed expectations are. Put the price, commitment, ownership, and timeline into plain language before the fantasy has to survive ordinary life. If naming the terms ruins the appeal, the appeal was carrying too much of the agreement.</x:v>
      </x:c>
      <x:c r="U197" s="27" t="str"/>
      <x:c r="V197" s="27" t="str">
        <x:v>READY FOR RUNTIME</x:v>
      </x:c>
    </x:row>
    <x:row r="198">
      <x:c r="A198" s="27" t="n">
        <x:v>197</x:v>
      </x:c>
      <x:c r="B198" s="27" t="str">
        <x:v>sky.venus.opposition.neptune</x:v>
      </x:c>
      <x:c r="C198" s="27" t="str">
        <x:v>venus</x:v>
      </x:c>
      <x:c r="D198" s="27" t="str">
        <x:v>opposition</x:v>
      </x:c>
      <x:c r="E198" s="27" t="str">
        <x:v>neptune</x:v>
      </x:c>
      <x:c r="F198" s="27" t="str">
        <x:v>venus|neptune</x:v>
      </x:c>
      <x:c r="G198" s="27" t="str">
        <x:v>Value and relationship meet idealization and compassion. Beauty and goodwill can inspire generosity or blur the terms people thought they agreed to.</x:v>
      </x:c>
      <x:c r="H198" s="27" t="str">
        <x:v>Two needs or positions face each other directly through different people, roles, institutions, or requirements. The tradeoff has to become explicit.</x:v>
      </x:c>
      <x:c r="I198" s="27" t="str">
        <x:v>A confrontation builds; the other side comes fully into view.</x:v>
      </x:c>
      <x:c r="J198" s="27" t="str">
        <x:v>The standoff resolves into balance or a split.</x:v>
      </x:c>
      <x:c r="K198" s="27" t="str">
        <x:v>[runtime sign]</x:v>
      </x:c>
      <x:c r="L198" s="27" t="str">
        <x:v>[lookup Body|Sign]</x:v>
      </x:c>
      <x:c r="M198" s="27" t="str">
        <x:v>[runtime sign]</x:v>
      </x:c>
      <x:c r="N198" s="27" t="str">
        <x:v>[lookup Body|Sign]</x:v>
      </x:c>
      <x:c r="O198" s="27" t="str">
        <x:v>[runtime local datetime]</x:v>
      </x:c>
      <x:c r="P198" s="27" t="str">
        <x:v>[runtime orb]</x:v>
      </x:c>
      <x:c r="Q198" s="27" t="str">
        <x:v>[applying / exact / separating]</x:v>
      </x:c>
      <x:c r="R198" s="27" t="str">
        <x:v>[runtime flags]</x:v>
      </x:c>
      <x:c r="S198" s="27" t="str">
        <x:v>Write one integrated collective Sky Calendar forecast for Venus in [Planet A sign] opposition Neptune in [Planet B sign] at [calculated date/time]. Preserve this pair meaning: Value and relationship meet idealization and compassion. Beauty and goodwill can inspire generosity or blur the terms people thought they agreed to. For the opposition, apply this behavior: Two needs or positions face each other directly through different people, roles, institutions, or requirements. The tradeoff has to become explicit. Use the Planet A sign to change how Venus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8" s="27" t="str">
        <x:v>Fast chemistry or easy enthusiasm may start sounding like a firm commitment before anyone has confirmed the cost or terms. Venus opposite Neptune can put the irresistible version of an offer directly across from the details that were never discussed. A trip, joint venture, social plan, or relationship can gather momentum while each side is imagining a different promise. Ask the boring questions early. Who is paying, what is confirmed, what remains optional, and what happens if the ideal version never materializes? Clarity protects the part that is actually worth wanting.</x:v>
      </x:c>
      <x:c r="U198" s="27" t="str"/>
      <x:c r="V198" s="27" t="str">
        <x:v>READY FOR RUNTIME</x:v>
      </x:c>
    </x:row>
    <x:row r="199">
      <x:c r="A199" s="27" t="n">
        <x:v>198</x:v>
      </x:c>
      <x:c r="B199" s="27" t="str">
        <x:v>sky.venus.square.neptune</x:v>
      </x:c>
      <x:c r="C199" s="27" t="str">
        <x:v>venus</x:v>
      </x:c>
      <x:c r="D199" s="27" t="str">
        <x:v>square</x:v>
      </x:c>
      <x:c r="E199" s="27" t="str">
        <x:v>neptune</x:v>
      </x:c>
      <x:c r="F199" s="27" t="str">
        <x:v>venus|neptune</x:v>
      </x:c>
      <x:c r="G199" s="27" t="str">
        <x:v>Value and relationship meet idealization and compassion. Beauty and goodwill can inspire generosity or blur the terms people thought they agreed to.</x:v>
      </x:c>
      <x:c r="H199" s="27" t="str">
        <x:v>Friction makes the problem difficult to keep absorbing. Pressure repeats or escalates until the plan, rule, behavior, or distribution of responsibility changes.</x:v>
      </x:c>
      <x:c r="I199" s="27" t="str">
        <x:v>Friction builds toward a forced adjustment.</x:v>
      </x:c>
      <x:c r="J199" s="27" t="str">
        <x:v>The crisis passes; what was restructured settles.</x:v>
      </x:c>
      <x:c r="K199" s="27" t="str">
        <x:v>[runtime sign]</x:v>
      </x:c>
      <x:c r="L199" s="27" t="str">
        <x:v>[lookup Body|Sign]</x:v>
      </x:c>
      <x:c r="M199" s="27" t="str">
        <x:v>[runtime sign]</x:v>
      </x:c>
      <x:c r="N199" s="27" t="str">
        <x:v>[lookup Body|Sign]</x:v>
      </x:c>
      <x:c r="O199" s="27" t="str">
        <x:v>[runtime local datetime]</x:v>
      </x:c>
      <x:c r="P199" s="27" t="str">
        <x:v>[runtime orb]</x:v>
      </x:c>
      <x:c r="Q199" s="27" t="str">
        <x:v>[applying / exact / separating]</x:v>
      </x:c>
      <x:c r="R199" s="27" t="str">
        <x:v>[runtime flags]</x:v>
      </x:c>
      <x:c r="S199" s="27" t="str">
        <x:v>Write one integrated collective Sky Calendar forecast for Venus in [Planet A sign] square Neptune in [Planet B sign] at [calculated date/time]. Preserve this pair meaning: Value and relationship meet idealization and compassion. Beauty and goodwill can inspire generosity or blur the terms people thought they agreed to. For the square, apply this behavior: Friction makes the problem difficult to keep absorbing. Pressure repeats or escalates until the plan, rule, behavior, or distribution of responsibility changes. Use the Planet A sign to change how Venus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199" s="27" t="str">
        <x:v>A polished offer may feel much more secure than the agreement underneath it. Venus square Neptune can make beautiful images, warm assurances, or fast chemistry carry a decision while price, availability, ownership, or commitment is still unresolved. The missing terms do not become kinder because everyone likes the idea. Put the vague part in writing before paying, booking, signing, or promising more. If two people cannot describe the same outcome in ordinary language, they are not agreeing to the same thing yet.</x:v>
      </x:c>
      <x:c r="U199" s="27" t="str"/>
      <x:c r="V199" s="27" t="str">
        <x:v>READY FOR RUNTIME</x:v>
      </x:c>
    </x:row>
    <x:row r="200">
      <x:c r="A200" s="27" t="n">
        <x:v>199</x:v>
      </x:c>
      <x:c r="B200" s="27" t="str">
        <x:v>sky.venus.trine.neptune</x:v>
      </x:c>
      <x:c r="C200" s="27" t="str">
        <x:v>venus</x:v>
      </x:c>
      <x:c r="D200" s="27" t="str">
        <x:v>trine</x:v>
      </x:c>
      <x:c r="E200" s="27" t="str">
        <x:v>neptune</x:v>
      </x:c>
      <x:c r="F200" s="27" t="str">
        <x:v>venus|neptune</x:v>
      </x:c>
      <x:c r="G200" s="27" t="str">
        <x:v>Value and relationship meet idealization and compassion. Beauty and goodwill can inspire generosity or blur the terms people thought they agreed to.</x:v>
      </x:c>
      <x:c r="H200" s="27" t="str">
        <x:v>The two functions support each other easily. Momentum is available with less resistance, which helps progress but can let a weak assumption travel farther.</x:v>
      </x:c>
      <x:c r="I200" s="27" t="str">
        <x:v>Ease and support build and arrive on their own.</x:v>
      </x:c>
      <x:c r="J200" s="27" t="str">
        <x:v>The ease withdraws; the flow passes, used or not.</x:v>
      </x:c>
      <x:c r="K200" s="27" t="str">
        <x:v>[runtime sign]</x:v>
      </x:c>
      <x:c r="L200" s="27" t="str">
        <x:v>[lookup Body|Sign]</x:v>
      </x:c>
      <x:c r="M200" s="27" t="str">
        <x:v>[runtime sign]</x:v>
      </x:c>
      <x:c r="N200" s="27" t="str">
        <x:v>[lookup Body|Sign]</x:v>
      </x:c>
      <x:c r="O200" s="27" t="str">
        <x:v>[runtime local datetime]</x:v>
      </x:c>
      <x:c r="P200" s="27" t="str">
        <x:v>[runtime orb]</x:v>
      </x:c>
      <x:c r="Q200" s="27" t="str">
        <x:v>[applying / exact / separating]</x:v>
      </x:c>
      <x:c r="R200" s="27" t="str">
        <x:v>[runtime flags]</x:v>
      </x:c>
      <x:c r="S200" s="27" t="str">
        <x:v>Write one integrated collective Sky Calendar forecast for Venus in [Planet A sign] trine Neptune in [Planet B sign] at [calculated date/time]. Preserve this pair meaning: Value and relationship meet idealization and compassion. Beauty and goodwill can inspire generosity or blur the terms people thought they agreed to. For the trine, apply this behavior: The two functions support each other easily. Momentum is available with less resistance, which helps progress but can let a weak assumption travel farther. Use the Planet A sign to change how Venus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0" s="27" t="str">
        <x:v>Art, care, and generosity can support each other without turning emotion into a sales tactic. Venus trine Neptune can make a performance fund relief, a gift honor a loss, or a gathering create room for tenderness while the purpose remains clear. The beauty is part of why people respond, but it does not have to hide the cost or the need. Let the experience move people. Make sure the money, credit, and practical help still reach the place the event said it was supporting after the room empties.</x:v>
      </x:c>
      <x:c r="U200" s="27" t="str"/>
      <x:c r="V200" s="27" t="str">
        <x:v>READY FOR RUNTIME</x:v>
      </x:c>
    </x:row>
    <x:row r="201">
      <x:c r="A201" s="27" t="n">
        <x:v>200</x:v>
      </x:c>
      <x:c r="B201" s="27" t="str">
        <x:v>sky.venus.sextile.neptune</x:v>
      </x:c>
      <x:c r="C201" s="27" t="str">
        <x:v>venus</x:v>
      </x:c>
      <x:c r="D201" s="27" t="str">
        <x:v>sextile</x:v>
      </x:c>
      <x:c r="E201" s="27" t="str">
        <x:v>neptune</x:v>
      </x:c>
      <x:c r="F201" s="27" t="str">
        <x:v>venus|neptune</x:v>
      </x:c>
      <x:c r="G201" s="27" t="str">
        <x:v>Value and relationship meet idealization and compassion. Beauty and goodwill can inspire generosity or blur the terms people thought they agreed to.</x:v>
      </x:c>
      <x:c r="H201" s="27" t="str">
        <x:v>A workable opening appears between the two functions. The opportunity is useful but not automatic; someone still has to notice it and make the specific move.</x:v>
      </x:c>
      <x:c r="I201" s="27" t="str">
        <x:v>A supportive opening becomes available; offered, not automatic.</x:v>
      </x:c>
      <x:c r="J201" s="27" t="str">
        <x:v>The opening closes; unused, it passes.</x:v>
      </x:c>
      <x:c r="K201" s="27" t="str">
        <x:v>[runtime sign]</x:v>
      </x:c>
      <x:c r="L201" s="27" t="str">
        <x:v>[lookup Body|Sign]</x:v>
      </x:c>
      <x:c r="M201" s="27" t="str">
        <x:v>[runtime sign]</x:v>
      </x:c>
      <x:c r="N201" s="27" t="str">
        <x:v>[lookup Body|Sign]</x:v>
      </x:c>
      <x:c r="O201" s="27" t="str">
        <x:v>[runtime local datetime]</x:v>
      </x:c>
      <x:c r="P201" s="27" t="str">
        <x:v>[runtime orb]</x:v>
      </x:c>
      <x:c r="Q201" s="27" t="str">
        <x:v>[applying / exact / separating]</x:v>
      </x:c>
      <x:c r="R201" s="27" t="str">
        <x:v>[runtime flags]</x:v>
      </x:c>
      <x:c r="S201" s="27" t="str">
        <x:v>Write one integrated collective Sky Calendar forecast for Venus in [Planet A sign] sextile Neptune in [Planet B sign] at [calculated date/time]. Preserve this pair meaning: Value and relationship meet idealization and compassion. Beauty and goodwill can inspire generosity or blur the terms people thought they agreed to. For the sextile, apply this behavior: A workable opening appears between the two functions. The opportunity is useful but not automatic; someone still has to notice it and make the specific move. Use the Planet A sign to change how Venus acts and what situations are plausible. Use the Planet B sign to change what Neptune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1" s="27" t="str">
        <x:v>A beautiful idea may receive just enough practical support to become an actual event, collaboration, benefit, or act of care. Venus sextile Neptune can help imagination find a room, budget, contact, or agreement without forcing the idea to lose the feeling that made people care in the first place. Secure the concrete piece while support is available. Confirm the space, cost, schedule, and person responsible for the next step. The vision does not become less meaningful because somebody booked the room and checked the invoice.</x:v>
      </x:c>
      <x:c r="U201" s="27" t="str"/>
      <x:c r="V201" s="27" t="str">
        <x:v>READY FOR RUNTIME</x:v>
      </x:c>
    </x:row>
    <x:row r="202">
      <x:c r="A202" s="27" t="n">
        <x:v>201</x:v>
      </x:c>
      <x:c r="B202" s="27" t="str">
        <x:v>sky.venus.conjunction.pluto</x:v>
      </x:c>
      <x:c r="C202" s="27" t="str">
        <x:v>venus</x:v>
      </x:c>
      <x:c r="D202" s="27" t="str">
        <x:v>conjunction</x:v>
      </x:c>
      <x:c r="E202" s="27" t="str">
        <x:v>pluto</x:v>
      </x:c>
      <x:c r="F202" s="27" t="str">
        <x:v>venus|pluto</x:v>
      </x:c>
      <x:c r="G202" s="27" t="str">
        <x:v>Value and attachment meet power and leverage. Money, loyalty, ownership, intimacy, or shared assets carry deeper consequences.</x:v>
      </x:c>
      <x:c r="H202" s="27" t="str">
        <x:v>The two functions operate inside the same event. Benefit and complication arrive together, so separating one from the other is difficult.</x:v>
      </x:c>
      <x:c r="I202" s="27" t="str">
        <x:v>The two fuse and intensify as they close in.</x:v>
      </x:c>
      <x:c r="J202" s="27" t="str">
        <x:v>The fused theme peaks and discharges.</x:v>
      </x:c>
      <x:c r="K202" s="27" t="str">
        <x:v>[runtime sign]</x:v>
      </x:c>
      <x:c r="L202" s="27" t="str">
        <x:v>[lookup Body|Sign]</x:v>
      </x:c>
      <x:c r="M202" s="27" t="str">
        <x:v>[runtime sign]</x:v>
      </x:c>
      <x:c r="N202" s="27" t="str">
        <x:v>[lookup Body|Sign]</x:v>
      </x:c>
      <x:c r="O202" s="27" t="str">
        <x:v>[runtime local datetime]</x:v>
      </x:c>
      <x:c r="P202" s="27" t="str">
        <x:v>[runtime orb]</x:v>
      </x:c>
      <x:c r="Q202" s="27" t="str">
        <x:v>[applying / exact / separating]</x:v>
      </x:c>
      <x:c r="R202" s="27" t="str">
        <x:v>[runtime flags]</x:v>
      </x:c>
      <x:c r="S202" s="27" t="str">
        <x:v>Write one integrated collective Sky Calendar forecast for Venus in [Planet A sign] conjunction Pluto in [Planet B sign] at [calculated date/time]. Preserve this pair meaning: Value and attachment meet power and leverage. Money, loyalty, ownership, intimacy, or shared assets carry deeper consequences. For the conjunction, apply this behavior: The two functions operate inside the same event. Benefit and complication arrive together, so separating one from the other is difficult. Use the Planet A sign to change how Venus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2" s="27" t="str">
        <x:v>A private agreement can concentrate money, loyalty, and leverage in the same hands. Venus conjunct Pluto can make a merger, inheritance, settlement, exclusive contract, or intimate commitment feel deeper at the exact moment leaving it becomes more expensive. The cost of exit is part of the agreement, especially when one person controls something the other cannot easily replace. Put ownership, access, debt, and decision rights on the table before treating the bond as proof that the terms are fair. Closeness should not make the leverage invisible.</x:v>
      </x:c>
      <x:c r="U202" s="27" t="str"/>
      <x:c r="V202" s="27" t="str">
        <x:v>READY FOR RUNTIME</x:v>
      </x:c>
    </x:row>
    <x:row r="203">
      <x:c r="A203" s="27" t="n">
        <x:v>202</x:v>
      </x:c>
      <x:c r="B203" s="27" t="str">
        <x:v>sky.venus.opposition.pluto</x:v>
      </x:c>
      <x:c r="C203" s="27" t="str">
        <x:v>venus</x:v>
      </x:c>
      <x:c r="D203" s="27" t="str">
        <x:v>opposition</x:v>
      </x:c>
      <x:c r="E203" s="27" t="str">
        <x:v>pluto</x:v>
      </x:c>
      <x:c r="F203" s="27" t="str">
        <x:v>venus|pluto</x:v>
      </x:c>
      <x:c r="G203" s="27" t="str">
        <x:v>Value and attachment meet power and leverage. Money, loyalty, ownership, intimacy, or shared assets carry deeper consequences.</x:v>
      </x:c>
      <x:c r="H203" s="27" t="str">
        <x:v>Two needs or positions face each other directly through different people, roles, institutions, or requirements. The tradeoff has to become explicit.</x:v>
      </x:c>
      <x:c r="I203" s="27" t="str">
        <x:v>A confrontation builds; the other side comes fully into view.</x:v>
      </x:c>
      <x:c r="J203" s="27" t="str">
        <x:v>The standoff resolves into balance or a split.</x:v>
      </x:c>
      <x:c r="K203" s="27" t="str">
        <x:v>[runtime sign]</x:v>
      </x:c>
      <x:c r="L203" s="27" t="str">
        <x:v>[lookup Body|Sign]</x:v>
      </x:c>
      <x:c r="M203" s="27" t="str">
        <x:v>[runtime sign]</x:v>
      </x:c>
      <x:c r="N203" s="27" t="str">
        <x:v>[lookup Body|Sign]</x:v>
      </x:c>
      <x:c r="O203" s="27" t="str">
        <x:v>[runtime local datetime]</x:v>
      </x:c>
      <x:c r="P203" s="27" t="str">
        <x:v>[runtime orb]</x:v>
      </x:c>
      <x:c r="Q203" s="27" t="str">
        <x:v>[applying / exact / separating]</x:v>
      </x:c>
      <x:c r="R203" s="27" t="str">
        <x:v>[runtime flags]</x:v>
      </x:c>
      <x:c r="S203" s="27" t="str">
        <x:v>Write one integrated collective Sky Calendar forecast for Venus in [Planet A sign] opposition Pluto in [Planet B sign] at [calculated date/time]. Preserve this pair meaning: Value and attachment meet power and leverage. Money, loyalty, ownership, intimacy, or shared assets carry deeper consequences. For the opposition, apply this behavior: Two needs or positions face each other directly through different people, roles, institutions, or requirements. The tradeoff has to become explicit. Use the Planet A sign to change how Venus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3" s="27" t="str">
        <x:v>The person asking for fair terms may be negotiating with someone who controls the money, access, or future opportunity attached to the deal. Venus opposite Pluto can make a request for recognition or mutual exchange run directly into the leverage that determines how much saying no would cost each side. That imbalance should be named, not hidden behind good manners. Ask who can walk away without losing income, access, credit, or the relationship itself. Fair terms mean more when both sides can refuse them without being punished for it.</x:v>
      </x:c>
      <x:c r="U203" s="27" t="str"/>
      <x:c r="V203" s="27" t="str">
        <x:v>READY FOR RUNTIME</x:v>
      </x:c>
    </x:row>
    <x:row r="204">
      <x:c r="A204" s="27" t="n">
        <x:v>203</x:v>
      </x:c>
      <x:c r="B204" s="27" t="str">
        <x:v>sky.venus.square.pluto</x:v>
      </x:c>
      <x:c r="C204" s="27" t="str">
        <x:v>venus</x:v>
      </x:c>
      <x:c r="D204" s="27" t="str">
        <x:v>square</x:v>
      </x:c>
      <x:c r="E204" s="27" t="str">
        <x:v>pluto</x:v>
      </x:c>
      <x:c r="F204" s="27" t="str">
        <x:v>venus|pluto</x:v>
      </x:c>
      <x:c r="G204" s="27" t="str">
        <x:v>Value and attachment meet power and leverage. Money, loyalty, ownership, intimacy, or shared assets carry deeper consequences.</x:v>
      </x:c>
      <x:c r="H204" s="27" t="str">
        <x:v>Friction makes the problem difficult to keep absorbing. Pressure repeats or escalates until the plan, rule, behavior, or distribution of responsibility changes.</x:v>
      </x:c>
      <x:c r="I204" s="27" t="str">
        <x:v>Friction builds toward a forced adjustment.</x:v>
      </x:c>
      <x:c r="J204" s="27" t="str">
        <x:v>The crisis passes; what was restructured settles.</x:v>
      </x:c>
      <x:c r="K204" s="27" t="str">
        <x:v>[runtime sign]</x:v>
      </x:c>
      <x:c r="L204" s="27" t="str">
        <x:v>[lookup Body|Sign]</x:v>
      </x:c>
      <x:c r="M204" s="27" t="str">
        <x:v>[runtime sign]</x:v>
      </x:c>
      <x:c r="N204" s="27" t="str">
        <x:v>[lookup Body|Sign]</x:v>
      </x:c>
      <x:c r="O204" s="27" t="str">
        <x:v>[runtime local datetime]</x:v>
      </x:c>
      <x:c r="P204" s="27" t="str">
        <x:v>[runtime orb]</x:v>
      </x:c>
      <x:c r="Q204" s="27" t="str">
        <x:v>[applying / exact / separating]</x:v>
      </x:c>
      <x:c r="R204" s="27" t="str">
        <x:v>[runtime flags]</x:v>
      </x:c>
      <x:c r="S204" s="27" t="str">
        <x:v>Write one integrated collective Sky Calendar forecast for Venus in [Planet A sign] square Pluto in [Planet B sign] at [calculated date/time]. Preserve this pair meaning: Value and attachment meet power and leverage. Money, loyalty, ownership, intimacy, or shared assets carry deeper consequences. For the square, apply this behavior: Friction makes the problem difficult to keep absorbing. Pressure repeats or escalates until the plan, rule, behavior, or distribution of responsibility changes. Use the Planet A sign to change how Venus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4" s="27" t="str">
        <x:v>A dispute over money or loyalty can become a fight over who is able to make the other person lose more. Venus square Pluto can push ordinary negotiation into withholding access, threatening credit, exposing private information, or using affection as leverage once someone stops getting the answer they want. That is no longer a disagreement about value. It is a control problem. Stop negotiating through the hostage. Separate the money, access, or private information from the argument and deal with the actual terms without making one person's vulnerability the price of staying at the table.</x:v>
      </x:c>
      <x:c r="U204" s="27" t="str"/>
      <x:c r="V204" s="27" t="str">
        <x:v>READY FOR RUNTIME</x:v>
      </x:c>
    </x:row>
    <x:row r="205">
      <x:c r="A205" s="27" t="n">
        <x:v>204</x:v>
      </x:c>
      <x:c r="B205" s="27" t="str">
        <x:v>sky.venus.trine.pluto</x:v>
      </x:c>
      <x:c r="C205" s="27" t="str">
        <x:v>venus</x:v>
      </x:c>
      <x:c r="D205" s="27" t="str">
        <x:v>trine</x:v>
      </x:c>
      <x:c r="E205" s="27" t="str">
        <x:v>pluto</x:v>
      </x:c>
      <x:c r="F205" s="27" t="str">
        <x:v>venus|pluto</x:v>
      </x:c>
      <x:c r="G205" s="27" t="str">
        <x:v>Value and attachment meet power and leverage. Money, loyalty, ownership, intimacy, or shared assets carry deeper consequences.</x:v>
      </x:c>
      <x:c r="H205" s="27" t="str">
        <x:v>The two functions support each other easily. Momentum is available with less resistance, which helps progress but can let a weak assumption travel farther.</x:v>
      </x:c>
      <x:c r="I205" s="27" t="str">
        <x:v>Ease and support build and arrive on their own.</x:v>
      </x:c>
      <x:c r="J205" s="27" t="str">
        <x:v>The ease withdraws; the flow passes, used or not.</x:v>
      </x:c>
      <x:c r="K205" s="27" t="str">
        <x:v>[runtime sign]</x:v>
      </x:c>
      <x:c r="L205" s="27" t="str">
        <x:v>[lookup Body|Sign]</x:v>
      </x:c>
      <x:c r="M205" s="27" t="str">
        <x:v>[runtime sign]</x:v>
      </x:c>
      <x:c r="N205" s="27" t="str">
        <x:v>[lookup Body|Sign]</x:v>
      </x:c>
      <x:c r="O205" s="27" t="str">
        <x:v>[runtime local datetime]</x:v>
      </x:c>
      <x:c r="P205" s="27" t="str">
        <x:v>[runtime orb]</x:v>
      </x:c>
      <x:c r="Q205" s="27" t="str">
        <x:v>[applying / exact / separating]</x:v>
      </x:c>
      <x:c r="R205" s="27" t="str">
        <x:v>[runtime flags]</x:v>
      </x:c>
      <x:c r="S205" s="27" t="str">
        <x:v>Write one integrated collective Sky Calendar forecast for Venus in [Planet A sign] trine Pluto in [Planet B sign] at [calculated date/time]. Preserve this pair meaning: Value and attachment meet power and leverage. Money, loyalty, ownership, intimacy, or shared assets carry deeper consequences. For the trine, apply this behavior: The two functions support each other easily. Momentum is available with less resistance, which helps progress but can let a weak assumption travel farther. Use the Planet A sign to change how Venus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5" s="27" t="str">
        <x:v>Shared money, credit, or authority may be redistributed in a way that actually improves the relationship. Venus trine Pluto can help a contract, inheritance, business arrangement, or private agreement become more transparent about who owns what, who can decide, and how either side can leave. Fairness is stronger when it reaches the structure instead of stopping at a reassuring conversation. Make the change visible in the account, contract, access, or signature rights. Trust grows faster when nobody has to guess how much leverage the other person still holds.</x:v>
      </x:c>
      <x:c r="U205" s="27" t="str"/>
      <x:c r="V205" s="27" t="str">
        <x:v>READY FOR RUNTIME</x:v>
      </x:c>
    </x:row>
    <x:row r="206">
      <x:c r="A206" s="27" t="n">
        <x:v>205</x:v>
      </x:c>
      <x:c r="B206" s="27" t="str">
        <x:v>sky.venus.sextile.pluto</x:v>
      </x:c>
      <x:c r="C206" s="27" t="str">
        <x:v>venus</x:v>
      </x:c>
      <x:c r="D206" s="27" t="str">
        <x:v>sextile</x:v>
      </x:c>
      <x:c r="E206" s="27" t="str">
        <x:v>pluto</x:v>
      </x:c>
      <x:c r="F206" s="27" t="str">
        <x:v>venus|pluto</x:v>
      </x:c>
      <x:c r="G206" s="27" t="str">
        <x:v>Value and attachment meet power and leverage. Money, loyalty, ownership, intimacy, or shared assets carry deeper consequences.</x:v>
      </x:c>
      <x:c r="H206" s="27" t="str">
        <x:v>A workable opening appears between the two functions. The opportunity is useful but not automatic; someone still has to notice it and make the specific move.</x:v>
      </x:c>
      <x:c r="I206" s="27" t="str">
        <x:v>A supportive opening becomes available; offered, not automatic.</x:v>
      </x:c>
      <x:c r="J206" s="27" t="str">
        <x:v>The opening closes; unused, it passes.</x:v>
      </x:c>
      <x:c r="K206" s="27" t="str">
        <x:v>[runtime sign]</x:v>
      </x:c>
      <x:c r="L206" s="27" t="str">
        <x:v>[lookup Body|Sign]</x:v>
      </x:c>
      <x:c r="M206" s="27" t="str">
        <x:v>[runtime sign]</x:v>
      </x:c>
      <x:c r="N206" s="27" t="str">
        <x:v>[lookup Body|Sign]</x:v>
      </x:c>
      <x:c r="O206" s="27" t="str">
        <x:v>[runtime local datetime]</x:v>
      </x:c>
      <x:c r="P206" s="27" t="str">
        <x:v>[runtime orb]</x:v>
      </x:c>
      <x:c r="Q206" s="27" t="str">
        <x:v>[applying / exact / separating]</x:v>
      </x:c>
      <x:c r="R206" s="27" t="str">
        <x:v>[runtime flags]</x:v>
      </x:c>
      <x:c r="S206" s="27" t="str">
        <x:v>Write one integrated collective Sky Calendar forecast for Venus in [Planet A sign] sextile Pluto in [Planet B sign] at [calculated date/time]. Preserve this pair meaning: Value and attachment meet power and leverage. Money, loyalty, ownership, intimacy, or shared assets carry deeper consequences. For the sextile, apply this behavior: A workable opening appears between the two functions. The opportunity is useful but not automatic; someone still has to notice it and make the specific move. Use the Planet A sign to change how Venus acts and what situations are plausible. Use the Planet B sign to change what Pluto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6" s="27" t="str">
        <x:v>A difficult negotiation may finally reach the person who can change the money, access, or terms instead of another person who can only apologize for them. Venus sextile Pluto can create a narrow opening to surface hidden fees, unequal credit, ownership, or private leverage before the agreement becomes final. Use that opening while the terms can still move. Ask the person with actual authority to answer the specific problem. A better deal becomes possible once the cost of saying no is no longer being kept off the page.</x:v>
      </x:c>
      <x:c r="U206" s="27" t="str"/>
      <x:c r="V206" s="27" t="str">
        <x:v>READY FOR RUNTIME</x:v>
      </x:c>
    </x:row>
    <x:row r="207">
      <x:c r="A207" s="27" t="n">
        <x:v>206</x:v>
      </x:c>
      <x:c r="B207" s="27" t="str">
        <x:v>sky.venus.conjunction.saturn</x:v>
      </x:c>
      <x:c r="C207" s="27" t="str">
        <x:v>venus</x:v>
      </x:c>
      <x:c r="D207" s="27" t="str">
        <x:v>conjunction</x:v>
      </x:c>
      <x:c r="E207" s="27" t="str">
        <x:v>saturn</x:v>
      </x:c>
      <x:c r="F207" s="27" t="str">
        <x:v>venus|saturn</x:v>
      </x:c>
      <x:c r="G207" s="27" t="str">
        <x:v>Value and relationship meet limits and commitment. Appreciation, money, or affection is tested by time, rules, responsibility, or what can actually be sustained.</x:v>
      </x:c>
      <x:c r="H207" s="27" t="str">
        <x:v>The two functions operate inside the same event. Benefit and complication arrive together, so separating one from the other is difficult.</x:v>
      </x:c>
      <x:c r="I207" s="27" t="str">
        <x:v>The two fuse and intensify as they close in.</x:v>
      </x:c>
      <x:c r="J207" s="27" t="str">
        <x:v>The fused theme peaks and discharges.</x:v>
      </x:c>
      <x:c r="K207" s="27" t="str">
        <x:v>[runtime sign]</x:v>
      </x:c>
      <x:c r="L207" s="27" t="str">
        <x:v>[lookup Body|Sign]</x:v>
      </x:c>
      <x:c r="M207" s="27" t="str">
        <x:v>[runtime sign]</x:v>
      </x:c>
      <x:c r="N207" s="27" t="str">
        <x:v>[lookup Body|Sign]</x:v>
      </x:c>
      <x:c r="O207" s="27" t="str">
        <x:v>[runtime local datetime]</x:v>
      </x:c>
      <x:c r="P207" s="27" t="str">
        <x:v>[runtime orb]</x:v>
      </x:c>
      <x:c r="Q207" s="27" t="str">
        <x:v>[applying / exact / separating]</x:v>
      </x:c>
      <x:c r="R207" s="27" t="str">
        <x:v>[runtime flags]</x:v>
      </x:c>
      <x:c r="S207" s="27" t="str">
        <x:v>Write one integrated collective Sky Calendar forecast for Venus in [Planet A sign] conjunction Saturn in [Planet B sign] at [calculated date/time]. Preserve this pair meaning: Value and relationship meet limits and commitment. Appreciation, money, or affection is tested by time, rules, responsibility, or what can actually be sustained. For the conjunction, apply this behavior: The two functions operate inside the same event. Benefit and complication arrive together, so separating one from the other is difficult. Use the Planet A sign to change how Venus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7" s="27" t="str">
        <x:v>A relationship or financial agreement can become official at the same moment its obligations become concrete. Venus conjunct Saturn can turn affection, money, and responsibility into dates, duties, recurring costs, and consequences that are harder to treat casually once the contract is signed. That can create stability. It can also reveal how much each person expected the other to carry without saying so. Read the obligation as closely as the promise. Put the money, time, and ongoing work into the agreement before commitment becomes the reason nobody feels allowed to renegotiate it.</x:v>
      </x:c>
      <x:c r="U207" s="27" t="str"/>
      <x:c r="V207" s="27" t="str">
        <x:v>READY FOR RUNTIME</x:v>
      </x:c>
    </x:row>
    <x:row r="208">
      <x:c r="A208" s="27" t="n">
        <x:v>207</x:v>
      </x:c>
      <x:c r="B208" s="27" t="str">
        <x:v>sky.venus.opposition.saturn</x:v>
      </x:c>
      <x:c r="C208" s="27" t="str">
        <x:v>venus</x:v>
      </x:c>
      <x:c r="D208" s="27" t="str">
        <x:v>opposition</x:v>
      </x:c>
      <x:c r="E208" s="27" t="str">
        <x:v>saturn</x:v>
      </x:c>
      <x:c r="F208" s="27" t="str">
        <x:v>venus|saturn</x:v>
      </x:c>
      <x:c r="G208" s="27" t="str">
        <x:v>Value and relationship meet limits and commitment. Appreciation, money, or affection is tested by time, rules, responsibility, or what can actually be sustained.</x:v>
      </x:c>
      <x:c r="H208" s="27" t="str">
        <x:v>Two needs or positions face each other directly through different people, roles, institutions, or requirements. The tradeoff has to become explicit.</x:v>
      </x:c>
      <x:c r="I208" s="27" t="str">
        <x:v>A confrontation builds; the other side comes fully into view.</x:v>
      </x:c>
      <x:c r="J208" s="27" t="str">
        <x:v>The standoff resolves into balance or a split.</x:v>
      </x:c>
      <x:c r="K208" s="27" t="str">
        <x:v>[runtime sign]</x:v>
      </x:c>
      <x:c r="L208" s="27" t="str">
        <x:v>[lookup Body|Sign]</x:v>
      </x:c>
      <x:c r="M208" s="27" t="str">
        <x:v>[runtime sign]</x:v>
      </x:c>
      <x:c r="N208" s="27" t="str">
        <x:v>[lookup Body|Sign]</x:v>
      </x:c>
      <x:c r="O208" s="27" t="str">
        <x:v>[runtime local datetime]</x:v>
      </x:c>
      <x:c r="P208" s="27" t="str">
        <x:v>[runtime orb]</x:v>
      </x:c>
      <x:c r="Q208" s="27" t="str">
        <x:v>[applying / exact / separating]</x:v>
      </x:c>
      <x:c r="R208" s="27" t="str">
        <x:v>[runtime flags]</x:v>
      </x:c>
      <x:c r="S208" s="27" t="str">
        <x:v>Write one integrated collective Sky Calendar forecast for Venus in [Planet A sign] opposition Saturn in [Planet B sign] at [calculated date/time]. Preserve this pair meaning: Value and relationship meet limits and commitment. Appreciation, money, or affection is tested by time, rules, responsibility, or what can actually be sustained. For the opposition, apply this behavior: Two needs or positions face each other directly through different people, roles, institutions, or requirements. The tradeoff has to become explicit. Use the Planet A sign to change how Venus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8" s="27" t="str">
        <x:v>A human request for funding, flexibility, or recognition may run into an institution determined to hold the line. Venus opposite Saturn can put the value of someone's work or relationship directly across from a budget, policy, or obligation with more authority than sympathy. The refusal may follow every rule and still leave the same person carrying the cost. Ask what the rule protects and who it leaves paying for the decision. If an exception is impossible, the institution should still be able to explain what support, credit, or alternative is actually available.</x:v>
      </x:c>
      <x:c r="U208" s="27" t="str"/>
      <x:c r="V208" s="27" t="str">
        <x:v>READY FOR RUNTIME</x:v>
      </x:c>
    </x:row>
    <x:row r="209">
      <x:c r="A209" s="27" t="n">
        <x:v>208</x:v>
      </x:c>
      <x:c r="B209" s="27" t="str">
        <x:v>sky.venus.square.saturn</x:v>
      </x:c>
      <x:c r="C209" s="27" t="str">
        <x:v>venus</x:v>
      </x:c>
      <x:c r="D209" s="27" t="str">
        <x:v>square</x:v>
      </x:c>
      <x:c r="E209" s="27" t="str">
        <x:v>saturn</x:v>
      </x:c>
      <x:c r="F209" s="27" t="str">
        <x:v>venus|saturn</x:v>
      </x:c>
      <x:c r="G209" s="27" t="str">
        <x:v>Value and relationship meet limits and commitment. Appreciation, money, or affection is tested by time, rules, responsibility, or what can actually be sustained.</x:v>
      </x:c>
      <x:c r="H209" s="27" t="str">
        <x:v>Friction makes the problem difficult to keep absorbing. Pressure repeats or escalates until the plan, rule, behavior, or distribution of responsibility changes.</x:v>
      </x:c>
      <x:c r="I209" s="27" t="str">
        <x:v>Friction builds toward a forced adjustment.</x:v>
      </x:c>
      <x:c r="J209" s="27" t="str">
        <x:v>The crisis passes; what was restructured settles.</x:v>
      </x:c>
      <x:c r="K209" s="27" t="str">
        <x:v>[runtime sign]</x:v>
      </x:c>
      <x:c r="L209" s="27" t="str">
        <x:v>[lookup Body|Sign]</x:v>
      </x:c>
      <x:c r="M209" s="27" t="str">
        <x:v>[runtime sign]</x:v>
      </x:c>
      <x:c r="N209" s="27" t="str">
        <x:v>[lookup Body|Sign]</x:v>
      </x:c>
      <x:c r="O209" s="27" t="str">
        <x:v>[runtime local datetime]</x:v>
      </x:c>
      <x:c r="P209" s="27" t="str">
        <x:v>[runtime orb]</x:v>
      </x:c>
      <x:c r="Q209" s="27" t="str">
        <x:v>[applying / exact / separating]</x:v>
      </x:c>
      <x:c r="R209" s="27" t="str">
        <x:v>[runtime flags]</x:v>
      </x:c>
      <x:c r="S209" s="27" t="str">
        <x:v>Write one integrated collective Sky Calendar forecast for Venus in [Planet A sign] square Saturn in [Planet B sign] at [calculated date/time]. Preserve this pair meaning: Value and relationship meet limits and commitment. Appreciation, money, or affection is tested by time, rules, responsibility, or what can actually be sustained. For the square, apply this behavior: Friction makes the problem difficult to keep absorbing. Pressure repeats or escalates until the plan, rule, behavior, or distribution of responsibility changes. Use the Planet A sign to change how Venus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09" s="27" t="str">
        <x:v>The work receives praise, but the request for money, time, or formal recognition is denied. Venus square Saturn can make every compliment feel thinner when appreciation keeps arriving in place of material support. A frozen budget or strict policy may be true. So is the cost of asking someone to keep doing valuable work without anything changing for them. Put the request next to the response. If the answer is still no, stop using praise to make the same terms sound generous and decide what work can realistically continue under them.</x:v>
      </x:c>
      <x:c r="U209" s="27" t="str"/>
      <x:c r="V209" s="27" t="str">
        <x:v>READY FOR RUNTIME</x:v>
      </x:c>
    </x:row>
    <x:row r="210">
      <x:c r="A210" s="27" t="n">
        <x:v>209</x:v>
      </x:c>
      <x:c r="B210" s="27" t="str">
        <x:v>sky.venus.trine.saturn</x:v>
      </x:c>
      <x:c r="C210" s="27" t="str">
        <x:v>venus</x:v>
      </x:c>
      <x:c r="D210" s="27" t="str">
        <x:v>trine</x:v>
      </x:c>
      <x:c r="E210" s="27" t="str">
        <x:v>saturn</x:v>
      </x:c>
      <x:c r="F210" s="27" t="str">
        <x:v>venus|saturn</x:v>
      </x:c>
      <x:c r="G210" s="27" t="str">
        <x:v>Value and relationship meet limits and commitment. Appreciation, money, or affection is tested by time, rules, responsibility, or what can actually be sustained.</x:v>
      </x:c>
      <x:c r="H210" s="27" t="str">
        <x:v>The two functions support each other easily. Momentum is available with less resistance, which helps progress but can let a weak assumption travel farther.</x:v>
      </x:c>
      <x:c r="I210" s="27" t="str">
        <x:v>Ease and support build and arrive on their own.</x:v>
      </x:c>
      <x:c r="J210" s="27" t="str">
        <x:v>The ease withdraws; the flow passes, used or not.</x:v>
      </x:c>
      <x:c r="K210" s="27" t="str">
        <x:v>[runtime sign]</x:v>
      </x:c>
      <x:c r="L210" s="27" t="str">
        <x:v>[lookup Body|Sign]</x:v>
      </x:c>
      <x:c r="M210" s="27" t="str">
        <x:v>[runtime sign]</x:v>
      </x:c>
      <x:c r="N210" s="27" t="str">
        <x:v>[lookup Body|Sign]</x:v>
      </x:c>
      <x:c r="O210" s="27" t="str">
        <x:v>[runtime local datetime]</x:v>
      </x:c>
      <x:c r="P210" s="27" t="str">
        <x:v>[runtime orb]</x:v>
      </x:c>
      <x:c r="Q210" s="27" t="str">
        <x:v>[applying / exact / separating]</x:v>
      </x:c>
      <x:c r="R210" s="27" t="str">
        <x:v>[runtime flags]</x:v>
      </x:c>
      <x:c r="S210" s="27" t="str">
        <x:v>Write one integrated collective Sky Calendar forecast for Venus in [Planet A sign] trine Saturn in [Planet B sign] at [calculated date/time]. Preserve this pair meaning: Value and relationship meet limits and commitment. Appreciation, money, or affection is tested by time, rules, responsibility, or what can actually be sustained. For the trine, apply this behavior: The two functions support each other easily. Momentum is available with less resistance, which helps progress but can let a weak assumption travel farther. Use the Planet A sign to change how Venus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0" s="27" t="str">
        <x:v>A plan that has been waiting on money or logistics may finally become possible once the full cost is on paper. Venus trine Saturn can help value and commitment support each other, so the budget, schedule, deposit, and long-term responsibility make the agreement more secure instead of less appealing. This is the useful kind of restraint. Confirm the numbers before celebrating the approval, then fund the part that keeps the plan working after the first good day. What is worth building should be able to survive its ordinary costs.</x:v>
      </x:c>
      <x:c r="U210" s="27" t="str"/>
      <x:c r="V210" s="27" t="str">
        <x:v>READY FOR RUNTIME</x:v>
      </x:c>
    </x:row>
    <x:row r="211">
      <x:c r="A211" s="27" t="n">
        <x:v>210</x:v>
      </x:c>
      <x:c r="B211" s="27" t="str">
        <x:v>sky.venus.sextile.saturn</x:v>
      </x:c>
      <x:c r="C211" s="27" t="str">
        <x:v>venus</x:v>
      </x:c>
      <x:c r="D211" s="27" t="str">
        <x:v>sextile</x:v>
      </x:c>
      <x:c r="E211" s="27" t="str">
        <x:v>saturn</x:v>
      </x:c>
      <x:c r="F211" s="27" t="str">
        <x:v>venus|saturn</x:v>
      </x:c>
      <x:c r="G211" s="27" t="str">
        <x:v>Value and relationship meet limits and commitment. Appreciation, money, or affection is tested by time, rules, responsibility, or what can actually be sustained.</x:v>
      </x:c>
      <x:c r="H211" s="27" t="str">
        <x:v>A workable opening appears between the two functions. The opportunity is useful but not automatic; someone still has to notice it and make the specific move.</x:v>
      </x:c>
      <x:c r="I211" s="27" t="str">
        <x:v>A supportive opening becomes available; offered, not automatic.</x:v>
      </x:c>
      <x:c r="J211" s="27" t="str">
        <x:v>The opening closes; unused, it passes.</x:v>
      </x:c>
      <x:c r="K211" s="27" t="str">
        <x:v>[runtime sign]</x:v>
      </x:c>
      <x:c r="L211" s="27" t="str">
        <x:v>[lookup Body|Sign]</x:v>
      </x:c>
      <x:c r="M211" s="27" t="str">
        <x:v>[runtime sign]</x:v>
      </x:c>
      <x:c r="N211" s="27" t="str">
        <x:v>[lookup Body|Sign]</x:v>
      </x:c>
      <x:c r="O211" s="27" t="str">
        <x:v>[runtime local datetime]</x:v>
      </x:c>
      <x:c r="P211" s="27" t="str">
        <x:v>[runtime orb]</x:v>
      </x:c>
      <x:c r="Q211" s="27" t="str">
        <x:v>[applying / exact / separating]</x:v>
      </x:c>
      <x:c r="R211" s="27" t="str">
        <x:v>[runtime flags]</x:v>
      </x:c>
      <x:c r="S211" s="27" t="str">
        <x:v>Write one integrated collective Sky Calendar forecast for Venus in [Planet A sign] sextile Saturn in [Planet B sign] at [calculated date/time]. Preserve this pair meaning: Value and relationship meet limits and commitment. Appreciation, money, or affection is tested by time, rules, responsibility, or what can actually be sustained. For the sextile, apply this behavior: A workable opening appears between the two functions. The opportunity is useful but not automatic; someone still has to notice it and make the specific move. Use the Planet A sign to change how Venus acts and what situations are plausible. Use the Planet B sign to change what Saturn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1" s="27" t="str">
        <x:v>A plan on hold may receive a conditional approval that makes one next step possible. Venus sextile Saturn can open a route through a budget, deposit, schedule, or policy problem without requiring the original goal to be abandoned. The condition matters as much as the yes. Read it. Adjust the numbers or timing, confirm who is responsible for meeting it, and get the next approval in writing. A workable compromise is one the people involved can actually maintain after the relief of finally moving forward wears off.</x:v>
      </x:c>
      <x:c r="U211" s="27" t="str"/>
      <x:c r="V211" s="27" t="str">
        <x:v>READY FOR RUNTIME</x:v>
      </x:c>
    </x:row>
    <x:row r="212">
      <x:c r="A212" s="27" t="n">
        <x:v>211</x:v>
      </x:c>
      <x:c r="B212" s="27" t="str">
        <x:v>sky.venus.conjunction.uranus</x:v>
      </x:c>
      <x:c r="C212" s="27" t="str">
        <x:v>venus</x:v>
      </x:c>
      <x:c r="D212" s="27" t="str">
        <x:v>conjunction</x:v>
      </x:c>
      <x:c r="E212" s="27" t="str">
        <x:v>uranus</x:v>
      </x:c>
      <x:c r="F212" s="27" t="str">
        <x:v>venus|uranus</x:v>
      </x:c>
      <x:c r="G212" s="27" t="str">
        <x:v>Value and agreement meet disruption and freedom. Terms change unexpectedly, creating either instability or a workable new arrangement.</x:v>
      </x:c>
      <x:c r="H212" s="27" t="str">
        <x:v>The two functions operate inside the same event. Benefit and complication arrive together, so separating one from the other is difficult.</x:v>
      </x:c>
      <x:c r="I212" s="27" t="str">
        <x:v>The two fuse and intensify as they close in.</x:v>
      </x:c>
      <x:c r="J212" s="27" t="str">
        <x:v>The fused theme peaks and discharges.</x:v>
      </x:c>
      <x:c r="K212" s="27" t="str">
        <x:v>[runtime sign]</x:v>
      </x:c>
      <x:c r="L212" s="27" t="str">
        <x:v>[lookup Body|Sign]</x:v>
      </x:c>
      <x:c r="M212" s="27" t="str">
        <x:v>[runtime sign]</x:v>
      </x:c>
      <x:c r="N212" s="27" t="str">
        <x:v>[lookup Body|Sign]</x:v>
      </x:c>
      <x:c r="O212" s="27" t="str">
        <x:v>[runtime local datetime]</x:v>
      </x:c>
      <x:c r="P212" s="27" t="str">
        <x:v>[runtime orb]</x:v>
      </x:c>
      <x:c r="Q212" s="27" t="str">
        <x:v>[applying / exact / separating]</x:v>
      </x:c>
      <x:c r="R212" s="27" t="str">
        <x:v>[runtime flags]</x:v>
      </x:c>
      <x:c r="S212" s="27" t="str">
        <x:v>Write one integrated collective Sky Calendar forecast for Venus in [Planet A sign] conjunction Uranus in [Planet B sign] at [calculated date/time]. Preserve this pair meaning: Value and agreement meet disruption and freedom. Terms change unexpectedly, creating either instability or a workable new arrangement. For the conjunction, apply this behavior: The two functions operate inside the same event. Benefit and complication arrive together, so separating one from the other is difficult. Use the Planet A sign to change how Venus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2" s="27" t="str">
        <x:v>An unexpected proposal can rewrite a familiar agreement before either side has time to fall back on the old rules. Venus conjunct Uranus can bring a new price, relationship term, invitation, or creative partnership that feels both freeing and unsettling because the value is still there while the format changes quickly. Do not confuse surprise with incompatibility. Name what the old arrangement stopped making room for and what the new one is asking each person to accept. The change has a better chance when freedom is written into the agreement instead of being taken outside it.</x:v>
      </x:c>
      <x:c r="U212" s="27" t="str"/>
      <x:c r="V212" s="27" t="str">
        <x:v>READY FOR RUNTIME</x:v>
      </x:c>
    </x:row>
    <x:row r="213">
      <x:c r="A213" s="27" t="n">
        <x:v>212</x:v>
      </x:c>
      <x:c r="B213" s="27" t="str">
        <x:v>sky.venus.opposition.uranus</x:v>
      </x:c>
      <x:c r="C213" s="27" t="str">
        <x:v>venus</x:v>
      </x:c>
      <x:c r="D213" s="27" t="str">
        <x:v>opposition</x:v>
      </x:c>
      <x:c r="E213" s="27" t="str">
        <x:v>uranus</x:v>
      </x:c>
      <x:c r="F213" s="27" t="str">
        <x:v>venus|uranus</x:v>
      </x:c>
      <x:c r="G213" s="27" t="str">
        <x:v>Value and agreement meet disruption and freedom. Terms change unexpectedly, creating either instability or a workable new arrangement.</x:v>
      </x:c>
      <x:c r="H213" s="27" t="str">
        <x:v>Two needs or positions face each other directly through different people, roles, institutions, or requirements. The tradeoff has to become explicit.</x:v>
      </x:c>
      <x:c r="I213" s="27" t="str">
        <x:v>A confrontation builds; the other side comes fully into view.</x:v>
      </x:c>
      <x:c r="J213" s="27" t="str">
        <x:v>The standoff resolves into balance or a split.</x:v>
      </x:c>
      <x:c r="K213" s="27" t="str">
        <x:v>[runtime sign]</x:v>
      </x:c>
      <x:c r="L213" s="27" t="str">
        <x:v>[lookup Body|Sign]</x:v>
      </x:c>
      <x:c r="M213" s="27" t="str">
        <x:v>[runtime sign]</x:v>
      </x:c>
      <x:c r="N213" s="27" t="str">
        <x:v>[lookup Body|Sign]</x:v>
      </x:c>
      <x:c r="O213" s="27" t="str">
        <x:v>[runtime local datetime]</x:v>
      </x:c>
      <x:c r="P213" s="27" t="str">
        <x:v>[runtime orb]</x:v>
      </x:c>
      <x:c r="Q213" s="27" t="str">
        <x:v>[applying / exact / separating]</x:v>
      </x:c>
      <x:c r="R213" s="27" t="str">
        <x:v>[runtime flags]</x:v>
      </x:c>
      <x:c r="S213" s="27" t="str">
        <x:v>Write one integrated collective Sky Calendar forecast for Venus in [Planet A sign] opposition Uranus in [Planet B sign] at [calculated date/time]. Preserve this pair meaning: Value and agreement meet disruption and freedom. Terms change unexpectedly, creating either instability or a workable new arrangement. For the opposition, apply this behavior: Two needs or positions face each other directly through different people, roles, institutions, or requirements. The tradeoff has to become explicit. Use the Planet A sign to change how Venus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3" s="27" t="str">
        <x:v>One side may want to preserve the agreement while the other believes staying requires different terms. Venus opposite Uranus can make belonging and independence impossible to separate, especially when a familiar price, role, schedule, or relationship rule now feels restrictive to the person living under it. The old agreement does not become fair because it used to work. Put both versions on the table and decide what each side needs in order to stay by choice. If the relationship only survives when one person stays quiet, continuity is not the same thing as consent.</x:v>
      </x:c>
      <x:c r="U213" s="27" t="str"/>
      <x:c r="V213" s="27" t="str">
        <x:v>READY FOR RUNTIME</x:v>
      </x:c>
    </x:row>
    <x:row r="214">
      <x:c r="A214" s="27" t="n">
        <x:v>213</x:v>
      </x:c>
      <x:c r="B214" s="27" t="str">
        <x:v>sky.venus.square.uranus</x:v>
      </x:c>
      <x:c r="C214" s="27" t="str">
        <x:v>venus</x:v>
      </x:c>
      <x:c r="D214" s="27" t="str">
        <x:v>square</x:v>
      </x:c>
      <x:c r="E214" s="27" t="str">
        <x:v>uranus</x:v>
      </x:c>
      <x:c r="F214" s="27" t="str">
        <x:v>venus|uranus</x:v>
      </x:c>
      <x:c r="G214" s="27" t="str">
        <x:v>Value and agreement meet disruption and freedom. Terms change unexpectedly, creating either instability or a workable new arrangement.</x:v>
      </x:c>
      <x:c r="H214" s="27" t="str">
        <x:v>Friction makes the problem difficult to keep absorbing. Pressure repeats or escalates until the plan, rule, behavior, or distribution of responsibility changes.</x:v>
      </x:c>
      <x:c r="I214" s="27" t="str">
        <x:v>Friction builds toward a forced adjustment.</x:v>
      </x:c>
      <x:c r="J214" s="27" t="str">
        <x:v>The crisis passes; what was restructured settles.</x:v>
      </x:c>
      <x:c r="K214" s="27" t="str">
        <x:v>[runtime sign]</x:v>
      </x:c>
      <x:c r="L214" s="27" t="str">
        <x:v>[lookup Body|Sign]</x:v>
      </x:c>
      <x:c r="M214" s="27" t="str">
        <x:v>[runtime sign]</x:v>
      </x:c>
      <x:c r="N214" s="27" t="str">
        <x:v>[lookup Body|Sign]</x:v>
      </x:c>
      <x:c r="O214" s="27" t="str">
        <x:v>[runtime local datetime]</x:v>
      </x:c>
      <x:c r="P214" s="27" t="str">
        <x:v>[runtime orb]</x:v>
      </x:c>
      <x:c r="Q214" s="27" t="str">
        <x:v>[applying / exact / separating]</x:v>
      </x:c>
      <x:c r="R214" s="27" t="str">
        <x:v>[runtime flags]</x:v>
      </x:c>
      <x:c r="S214" s="27" t="str">
        <x:v>Write one integrated collective Sky Calendar forecast for Venus in [Planet A sign] square Uranus in [Planet B sign] at [calculated date/time]. Preserve this pair meaning: Value and agreement meet disruption and freedom. Terms change unexpectedly, creating either instability or a workable new arrangement. For the square, apply this behavior: Friction makes the problem difficult to keep absorbing. Pressure repeats or escalates until the plan, rule, behavior, or distribution of responsibility changes. Use the Planet A sign to change how Venus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4" s="27" t="str">
        <x:v>A sudden change in price, availability, or commitment can break an agreement people expected to rely on. Venus square Uranus can make one person's necessary change become everybody else's immediate problem when the new terms arrive without warning or room to respond. Freedom does not erase responsibility for the disruption. Give people notice, alternatives, or a transition when the change affects their money, schedule, housing, work, or relationship. The new terms may still stand. Goodwill is much easier to preserve when nobody is forced to discover them through the consequences.</x:v>
      </x:c>
      <x:c r="U214" s="27" t="str"/>
      <x:c r="V214" s="27" t="str">
        <x:v>READY FOR RUNTIME</x:v>
      </x:c>
    </x:row>
    <x:row r="215">
      <x:c r="A215" s="27" t="n">
        <x:v>214</x:v>
      </x:c>
      <x:c r="B215" s="27" t="str">
        <x:v>sky.venus.trine.uranus</x:v>
      </x:c>
      <x:c r="C215" s="27" t="str">
        <x:v>venus</x:v>
      </x:c>
      <x:c r="D215" s="27" t="str">
        <x:v>trine</x:v>
      </x:c>
      <x:c r="E215" s="27" t="str">
        <x:v>uranus</x:v>
      </x:c>
      <x:c r="F215" s="27" t="str">
        <x:v>venus|uranus</x:v>
      </x:c>
      <x:c r="G215" s="27" t="str">
        <x:v>Value and agreement meet disruption and freedom. Terms change unexpectedly, creating either instability or a workable new arrangement.</x:v>
      </x:c>
      <x:c r="H215" s="27" t="str">
        <x:v>The two functions support each other easily. Momentum is available with less resistance, which helps progress but can let a weak assumption travel farther.</x:v>
      </x:c>
      <x:c r="I215" s="27" t="str">
        <x:v>Ease and support build and arrive on their own.</x:v>
      </x:c>
      <x:c r="J215" s="27" t="str">
        <x:v>The ease withdraws; the flow passes, used or not.</x:v>
      </x:c>
      <x:c r="K215" s="27" t="str">
        <x:v>[runtime sign]</x:v>
      </x:c>
      <x:c r="L215" s="27" t="str">
        <x:v>[lookup Body|Sign]</x:v>
      </x:c>
      <x:c r="M215" s="27" t="str">
        <x:v>[runtime sign]</x:v>
      </x:c>
      <x:c r="N215" s="27" t="str">
        <x:v>[lookup Body|Sign]</x:v>
      </x:c>
      <x:c r="O215" s="27" t="str">
        <x:v>[runtime local datetime]</x:v>
      </x:c>
      <x:c r="P215" s="27" t="str">
        <x:v>[runtime orb]</x:v>
      </x:c>
      <x:c r="Q215" s="27" t="str">
        <x:v>[applying / exact / separating]</x:v>
      </x:c>
      <x:c r="R215" s="27" t="str">
        <x:v>[runtime flags]</x:v>
      </x:c>
      <x:c r="S215" s="27" t="str">
        <x:v>Write one integrated collective Sky Calendar forecast for Venus in [Planet A sign] trine Uranus in [Planet B sign] at [calculated date/time]. Preserve this pair meaning: Value and agreement meet disruption and freedom. Terms change unexpectedly, creating either instability or a workable new arrangement. For the trine, apply this behavior: The two functions support each other easily. Momentum is available with less resistance, which helps progress but can let a weak assumption travel farther. Use the Planet A sign to change how Venus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5" s="27" t="str">
        <x:v>An agreement that has become too rigid may be easier to revise before the people living with it decide to leave. Venus trine Uranus can help a payment plan stretch, a deadline move, or a relationship rule change without turning the adjustment into proof that the whole agreement failed. The goal is not change for its own sake. It is making enough room for the arrangement to keep working. Name the term causing the problem and rewrite that term. A flexible agreement is stronger when people can adapt it before surprise becomes the only route to relief.</x:v>
      </x:c>
      <x:c r="U215" s="27" t="str"/>
      <x:c r="V215" s="27" t="str">
        <x:v>READY FOR RUNTIME</x:v>
      </x:c>
    </x:row>
    <x:row r="216">
      <x:c r="A216" s="27" t="n">
        <x:v>215</x:v>
      </x:c>
      <x:c r="B216" s="27" t="str">
        <x:v>sky.venus.sextile.uranus</x:v>
      </x:c>
      <x:c r="C216" s="27" t="str">
        <x:v>venus</x:v>
      </x:c>
      <x:c r="D216" s="27" t="str">
        <x:v>sextile</x:v>
      </x:c>
      <x:c r="E216" s="27" t="str">
        <x:v>uranus</x:v>
      </x:c>
      <x:c r="F216" s="27" t="str">
        <x:v>venus|uranus</x:v>
      </x:c>
      <x:c r="G216" s="27" t="str">
        <x:v>Value and agreement meet disruption and freedom. Terms change unexpectedly, creating either instability or a workable new arrangement.</x:v>
      </x:c>
      <x:c r="H216" s="27" t="str">
        <x:v>A workable opening appears between the two functions. The opportunity is useful but not automatic; someone still has to notice it and make the specific move.</x:v>
      </x:c>
      <x:c r="I216" s="27" t="str">
        <x:v>A supportive opening becomes available; offered, not automatic.</x:v>
      </x:c>
      <x:c r="J216" s="27" t="str">
        <x:v>The opening closes; unused, it passes.</x:v>
      </x:c>
      <x:c r="K216" s="27" t="str">
        <x:v>[runtime sign]</x:v>
      </x:c>
      <x:c r="L216" s="27" t="str">
        <x:v>[lookup Body|Sign]</x:v>
      </x:c>
      <x:c r="M216" s="27" t="str">
        <x:v>[runtime sign]</x:v>
      </x:c>
      <x:c r="N216" s="27" t="str">
        <x:v>[lookup Body|Sign]</x:v>
      </x:c>
      <x:c r="O216" s="27" t="str">
        <x:v>[runtime local datetime]</x:v>
      </x:c>
      <x:c r="P216" s="27" t="str">
        <x:v>[runtime orb]</x:v>
      </x:c>
      <x:c r="Q216" s="27" t="str">
        <x:v>[applying / exact / separating]</x:v>
      </x:c>
      <x:c r="R216" s="27" t="str">
        <x:v>[runtime flags]</x:v>
      </x:c>
      <x:c r="S216" s="27" t="str">
        <x:v>Write one integrated collective Sky Calendar forecast for Venus in [Planet A sign] sextile Uranus in [Planet B sign] at [calculated date/time]. Preserve this pair meaning: Value and agreement meet disruption and freedom. Terms change unexpectedly, creating either instability or a workable new arrangement. For the sextile, apply this behavior: A workable opening appears between the two functions. The opportunity is useful but not automatic; someone still has to notice it and make the specific move. Use the Planet A sign to change how Venus acts and what situations are plausible. Use the Planet B sign to change what Uranus protects, expands, limits, disrupts, obscures, or controls. If applying, use the row-specific applying doctrine; if separating, use the separating doctrine; if exact, write the peak consequence. The full sign-aware astrology must be visible by sentence 2. Use concrete stakes and one practical response earned by the exact situation. Do not use second-person pronouns. Do not reuse the generic fallback as the final body when both signs and date context are known.</x:v>
      </x:c>
      <x:c r="T216" s="27" t="str">
        <x:v>One proposed change may give a strained agreement enough room to keep going. Venus sextile Uranus can make a moved payment date, revised guest list, different schedule, or updated relationship rule easier to propose once someone names the exact part that no longer works. The opening is small, which is useful. Change one term and see what it fixes before renegotiating everything else. The arrangement has a better chance when people can ask for more room directly instead of waiting until the only available move is to walk away.</x:v>
      </x:c>
      <x:c r="U216" s="27" t="str"/>
      <x:c r="V216" s="27" t="str">
        <x:v>READY FOR RUNTIME</x:v>
      </x:c>
    </x:row>
    <x:row r="217">
      <x:c r="A217" s="27"/>
      <x:c r="B217" s="27"/>
      <x:c r="C217" s="27"/>
      <x:c r="D217" s="27"/>
      <x:c r="E217" s="27"/>
      <x:c r="F217" s="27"/>
      <x:c r="G217" s="27"/>
      <x:c r="H217" s="27"/>
      <x:c r="I217" s="27"/>
      <x:c r="J217" s="27"/>
      <x:c r="K217" s="27"/>
      <x:c r="L217" s="27"/>
      <x:c r="M217" s="27"/>
      <x:c r="N217" s="27"/>
      <x:c r="O217" s="27"/>
      <x:c r="P217" s="27"/>
      <x:c r="Q217" s="27"/>
      <x:c r="R217" s="27"/>
      <x:c r="S217" s="27"/>
      <x:c r="T217" s="27"/>
      <x:c r="U217" s="27"/>
      <x:c r="V217" s="27"/>
    </x:row>
    <x:row r="218">
      <x:c r="A218" s="27"/>
      <x:c r="B218" s="27"/>
      <x:c r="C218" s="27"/>
      <x:c r="D218" s="27"/>
      <x:c r="E218" s="27"/>
      <x:c r="F218" s="27"/>
      <x:c r="G218" s="27"/>
      <x:c r="H218" s="27"/>
      <x:c r="I218" s="27"/>
      <x:c r="J218" s="27"/>
      <x:c r="K218" s="27"/>
      <x:c r="L218" s="27"/>
      <x:c r="M218" s="27"/>
      <x:c r="N218" s="27"/>
      <x:c r="O218" s="27"/>
      <x:c r="P218" s="27"/>
      <x:c r="Q218" s="27"/>
      <x:c r="R218" s="27"/>
      <x:c r="S218" s="27"/>
      <x:c r="T218" s="27"/>
      <x:c r="U218" s="27"/>
      <x:c r="V218" s="27"/>
    </x:row>
    <x:row r="219">
      <x:c r="A219" s="27"/>
      <x:c r="B219" s="27"/>
      <x:c r="C219" s="27"/>
      <x:c r="D219" s="27"/>
      <x:c r="E219" s="27"/>
      <x:c r="F219" s="27"/>
      <x:c r="G219" s="27"/>
      <x:c r="H219" s="27"/>
      <x:c r="I219" s="27"/>
      <x:c r="J219" s="27"/>
      <x:c r="K219" s="27"/>
      <x:c r="L219" s="27"/>
      <x:c r="M219" s="27"/>
      <x:c r="N219" s="27"/>
      <x:c r="O219" s="27"/>
      <x:c r="P219" s="27"/>
      <x:c r="Q219" s="27"/>
      <x:c r="R219" s="27"/>
      <x:c r="S219" s="27"/>
      <x:c r="T219" s="27"/>
      <x:c r="U219" s="27"/>
      <x:c r="V219" s="27"/>
    </x:row>
    <x:row r="220">
      <x:c r="A220" s="27"/>
      <x:c r="B220" s="27"/>
      <x:c r="C220" s="27"/>
      <x:c r="D220" s="27"/>
      <x:c r="E220" s="27"/>
      <x:c r="F220" s="27"/>
      <x:c r="G220" s="27"/>
      <x:c r="H220" s="27"/>
      <x:c r="I220" s="27"/>
      <x:c r="J220" s="27"/>
      <x:c r="K220" s="27"/>
      <x:c r="L220" s="27"/>
      <x:c r="M220" s="27"/>
      <x:c r="N220" s="27"/>
      <x:c r="O220" s="27"/>
      <x:c r="P220" s="27"/>
      <x:c r="Q220" s="27"/>
      <x:c r="R220" s="27"/>
      <x:c r="S220" s="27"/>
      <x:c r="T220" s="27"/>
      <x:c r="U220" s="27"/>
      <x:c r="V220" s="27"/>
    </x:row>
    <x:row r="221">
      <x:c r="A221" s="27"/>
      <x:c r="B221" s="27"/>
      <x:c r="C221" s="27"/>
      <x:c r="D221" s="27"/>
      <x:c r="E221" s="27"/>
      <x:c r="F221" s="27"/>
      <x:c r="G221" s="27"/>
      <x:c r="H221" s="27"/>
      <x:c r="I221" s="27"/>
      <x:c r="J221" s="27"/>
      <x:c r="K221" s="27"/>
      <x:c r="L221" s="27"/>
      <x:c r="M221" s="27"/>
      <x:c r="N221" s="27"/>
      <x:c r="O221" s="27"/>
      <x:c r="P221" s="27"/>
      <x:c r="Q221" s="27"/>
      <x:c r="R221" s="27"/>
      <x:c r="S221" s="27"/>
      <x:c r="T221" s="27"/>
      <x:c r="U221" s="27"/>
      <x:c r="V221" s="27"/>
    </x:row>
    <x:row r="222">
      <x:c r="A222" s="27"/>
      <x:c r="B222" s="27"/>
      <x:c r="C222" s="27"/>
      <x:c r="D222" s="27"/>
      <x:c r="E222" s="27"/>
      <x:c r="F222" s="27"/>
      <x:c r="G222" s="27"/>
      <x:c r="H222" s="27"/>
      <x:c r="I222" s="27"/>
      <x:c r="J222" s="27"/>
      <x:c r="K222" s="27"/>
      <x:c r="L222" s="27"/>
      <x:c r="M222" s="27"/>
      <x:c r="N222" s="27"/>
      <x:c r="O222" s="27"/>
      <x:c r="P222" s="27"/>
      <x:c r="Q222" s="27"/>
      <x:c r="R222" s="27"/>
      <x:c r="S222" s="27"/>
      <x:c r="T222" s="27"/>
      <x:c r="U222" s="27"/>
      <x:c r="V222" s="27"/>
    </x:row>
    <x:row r="223">
      <x:c r="A223" s="27"/>
      <x:c r="B223" s="27"/>
      <x:c r="C223" s="27"/>
      <x:c r="D223" s="27"/>
      <x:c r="E223" s="27"/>
      <x:c r="F223" s="27"/>
      <x:c r="G223" s="27"/>
      <x:c r="H223" s="27"/>
      <x:c r="I223" s="27"/>
      <x:c r="J223" s="27"/>
      <x:c r="K223" s="27"/>
      <x:c r="L223" s="27"/>
      <x:c r="M223" s="27"/>
      <x:c r="N223" s="27"/>
      <x:c r="O223" s="27"/>
      <x:c r="P223" s="27"/>
      <x:c r="Q223" s="27"/>
      <x:c r="R223" s="27"/>
      <x:c r="S223" s="27"/>
      <x:c r="T223" s="27"/>
      <x:c r="U223" s="27"/>
      <x:c r="V223" s="27"/>
    </x:row>
    <x:row r="224">
      <x:c r="A224" s="27"/>
      <x:c r="B224" s="27"/>
      <x:c r="C224" s="27"/>
      <x:c r="D224" s="27"/>
      <x:c r="E224" s="27"/>
      <x:c r="F224" s="27"/>
      <x:c r="G224" s="27"/>
      <x:c r="H224" s="27"/>
      <x:c r="I224" s="27"/>
      <x:c r="J224" s="27"/>
      <x:c r="K224" s="27"/>
      <x:c r="L224" s="27"/>
      <x:c r="M224" s="27"/>
      <x:c r="N224" s="27"/>
      <x:c r="O224" s="27"/>
      <x:c r="P224" s="27"/>
      <x:c r="Q224" s="27"/>
      <x:c r="R224" s="27"/>
      <x:c r="S224" s="27"/>
      <x:c r="T224" s="27"/>
      <x:c r="U224" s="27"/>
      <x:c r="V224" s="27"/>
    </x:row>
    <x:row r="225">
      <x:c r="A225" s="27"/>
      <x:c r="B225" s="27"/>
      <x:c r="C225" s="27"/>
      <x:c r="D225" s="27"/>
      <x:c r="E225" s="27"/>
      <x:c r="F225" s="27"/>
      <x:c r="G225" s="27"/>
      <x:c r="H225" s="27"/>
      <x:c r="I225" s="27"/>
      <x:c r="J225" s="27"/>
      <x:c r="K225" s="27"/>
      <x:c r="L225" s="27"/>
      <x:c r="M225" s="27"/>
      <x:c r="N225" s="27"/>
      <x:c r="O225" s="27"/>
      <x:c r="P225" s="27"/>
      <x:c r="Q225" s="27"/>
      <x:c r="R225" s="27"/>
      <x:c r="S225" s="27"/>
      <x:c r="T225" s="27"/>
      <x:c r="U225" s="27"/>
      <x:c r="V225" s="27"/>
    </x:row>
    <x:row r="226">
      <x:c r="A226" s="27"/>
      <x:c r="B226" s="27"/>
      <x:c r="C226" s="27"/>
      <x:c r="D226" s="27"/>
      <x:c r="E226" s="27"/>
      <x:c r="F226" s="27"/>
      <x:c r="G226" s="27"/>
      <x:c r="H226" s="27"/>
      <x:c r="I226" s="27"/>
      <x:c r="J226" s="27"/>
      <x:c r="K226" s="27"/>
      <x:c r="L226" s="27"/>
      <x:c r="M226" s="27"/>
      <x:c r="N226" s="27"/>
      <x:c r="O226" s="27"/>
      <x:c r="P226" s="27"/>
      <x:c r="Q226" s="27"/>
      <x:c r="R226" s="27"/>
      <x:c r="S226" s="27"/>
      <x:c r="T226" s="27"/>
      <x:c r="U226" s="27"/>
      <x:c r="V226" s="27"/>
    </x:row>
    <x:row r="227">
      <x:c r="A227" s="27"/>
      <x:c r="B227" s="27"/>
      <x:c r="C227" s="27"/>
      <x:c r="D227" s="27"/>
      <x:c r="E227" s="27"/>
      <x:c r="F227" s="27"/>
      <x:c r="G227" s="27"/>
      <x:c r="H227" s="27"/>
      <x:c r="I227" s="27"/>
      <x:c r="J227" s="27"/>
      <x:c r="K227" s="27"/>
      <x:c r="L227" s="27"/>
      <x:c r="M227" s="27"/>
      <x:c r="N227" s="27"/>
      <x:c r="O227" s="27"/>
      <x:c r="P227" s="27"/>
      <x:c r="Q227" s="27"/>
      <x:c r="R227" s="27"/>
      <x:c r="S227" s="27"/>
      <x:c r="T227" s="27"/>
      <x:c r="U227" s="27"/>
      <x:c r="V227" s="27"/>
    </x:row>
    <x:row r="228">
      <x:c r="A228" s="27"/>
      <x:c r="B228" s="27"/>
      <x:c r="C228" s="27"/>
      <x:c r="D228" s="27"/>
      <x:c r="E228" s="27"/>
      <x:c r="F228" s="27"/>
      <x:c r="G228" s="27"/>
      <x:c r="H228" s="27"/>
      <x:c r="I228" s="27"/>
      <x:c r="J228" s="27"/>
      <x:c r="K228" s="27"/>
      <x:c r="L228" s="27"/>
      <x:c r="M228" s="27"/>
      <x:c r="N228" s="27"/>
      <x:c r="O228" s="27"/>
      <x:c r="P228" s="27"/>
      <x:c r="Q228" s="27"/>
      <x:c r="R228" s="27"/>
      <x:c r="S228" s="27"/>
      <x:c r="T228" s="27"/>
      <x:c r="U228" s="27"/>
      <x:c r="V228" s="27"/>
    </x:row>
    <x:row r="229">
      <x:c r="A229" s="27"/>
      <x:c r="B229" s="27"/>
      <x:c r="C229" s="27"/>
      <x:c r="D229" s="27"/>
      <x:c r="E229" s="27"/>
      <x:c r="F229" s="27"/>
      <x:c r="G229" s="27"/>
      <x:c r="H229" s="27"/>
      <x:c r="I229" s="27"/>
      <x:c r="J229" s="27"/>
      <x:c r="K229" s="27"/>
      <x:c r="L229" s="27"/>
      <x:c r="M229" s="27"/>
      <x:c r="N229" s="27"/>
      <x:c r="O229" s="27"/>
      <x:c r="P229" s="27"/>
      <x:c r="Q229" s="27"/>
      <x:c r="R229" s="27"/>
      <x:c r="S229" s="27"/>
      <x:c r="T229" s="27"/>
      <x:c r="U229" s="27"/>
      <x:c r="V229" s="27"/>
    </x:row>
    <x:row r="230">
      <x:c r="A230" s="27"/>
      <x:c r="B230" s="27"/>
      <x:c r="C230" s="27"/>
      <x:c r="D230" s="27"/>
      <x:c r="E230" s="27"/>
      <x:c r="F230" s="27"/>
      <x:c r="G230" s="27"/>
      <x:c r="H230" s="27"/>
      <x:c r="I230" s="27"/>
      <x:c r="J230" s="27"/>
      <x:c r="K230" s="27"/>
      <x:c r="L230" s="27"/>
      <x:c r="M230" s="27"/>
      <x:c r="N230" s="27"/>
      <x:c r="O230" s="27"/>
      <x:c r="P230" s="27"/>
      <x:c r="Q230" s="27"/>
      <x:c r="R230" s="27"/>
      <x:c r="S230" s="27"/>
      <x:c r="T230" s="27"/>
      <x:c r="U230" s="27"/>
      <x:c r="V230" s="27"/>
    </x:row>
    <x:row r="231">
      <x:c r="A231" s="27"/>
      <x:c r="B231" s="27"/>
      <x:c r="C231" s="27"/>
      <x:c r="D231" s="27"/>
      <x:c r="E231" s="27"/>
      <x:c r="F231" s="27"/>
      <x:c r="G231" s="27"/>
      <x:c r="H231" s="27"/>
      <x:c r="I231" s="27"/>
      <x:c r="J231" s="27"/>
      <x:c r="K231" s="27"/>
      <x:c r="L231" s="27"/>
      <x:c r="M231" s="27"/>
      <x:c r="N231" s="27"/>
      <x:c r="O231" s="27"/>
      <x:c r="P231" s="27"/>
      <x:c r="Q231" s="27"/>
      <x:c r="R231" s="27"/>
      <x:c r="S231" s="27"/>
      <x:c r="T231" s="27"/>
      <x:c r="U231" s="27"/>
      <x:c r="V231" s="27"/>
    </x:row>
    <x:row r="232">
      <x:c r="A232" s="27"/>
      <x:c r="B232" s="27"/>
      <x:c r="C232" s="27"/>
      <x:c r="D232" s="27"/>
      <x:c r="E232" s="27"/>
      <x:c r="F232" s="27"/>
      <x:c r="G232" s="27"/>
      <x:c r="H232" s="27"/>
      <x:c r="I232" s="27"/>
      <x:c r="J232" s="27"/>
      <x:c r="K232" s="27"/>
      <x:c r="L232" s="27"/>
      <x:c r="M232" s="27"/>
      <x:c r="N232" s="27"/>
      <x:c r="O232" s="27"/>
      <x:c r="P232" s="27"/>
      <x:c r="Q232" s="27"/>
      <x:c r="R232" s="27"/>
      <x:c r="S232" s="27"/>
      <x:c r="T232" s="27"/>
      <x:c r="U232" s="27"/>
      <x:c r="V232" s="27"/>
    </x:row>
    <x:row r="233">
      <x:c r="A233" s="27"/>
      <x:c r="B233" s="27"/>
      <x:c r="C233" s="27"/>
      <x:c r="D233" s="27"/>
      <x:c r="E233" s="27"/>
      <x:c r="F233" s="27"/>
      <x:c r="G233" s="27"/>
      <x:c r="H233" s="27"/>
      <x:c r="I233" s="27"/>
      <x:c r="J233" s="27"/>
      <x:c r="K233" s="27"/>
      <x:c r="L233" s="27"/>
      <x:c r="M233" s="27"/>
      <x:c r="N233" s="27"/>
      <x:c r="O233" s="27"/>
      <x:c r="P233" s="27"/>
      <x:c r="Q233" s="27"/>
      <x:c r="R233" s="27"/>
      <x:c r="S233" s="27"/>
      <x:c r="T233" s="27"/>
      <x:c r="U233" s="27"/>
      <x:c r="V233" s="27"/>
    </x:row>
    <x:row r="234">
      <x:c r="A234" s="27"/>
      <x:c r="B234" s="27"/>
      <x:c r="C234" s="27"/>
      <x:c r="D234" s="27"/>
      <x:c r="E234" s="27"/>
      <x:c r="F234" s="27"/>
      <x:c r="G234" s="27"/>
      <x:c r="H234" s="27"/>
      <x:c r="I234" s="27"/>
      <x:c r="J234" s="27"/>
      <x:c r="K234" s="27"/>
      <x:c r="L234" s="27"/>
      <x:c r="M234" s="27"/>
      <x:c r="N234" s="27"/>
      <x:c r="O234" s="27"/>
      <x:c r="P234" s="27"/>
      <x:c r="Q234" s="27"/>
      <x:c r="R234" s="27"/>
      <x:c r="S234" s="27"/>
      <x:c r="T234" s="27"/>
      <x:c r="U234" s="27"/>
      <x:c r="V234" s="27"/>
    </x:row>
    <x:row r="235">
      <x:c r="A235" s="27"/>
      <x:c r="B235" s="27"/>
      <x:c r="C235" s="27"/>
      <x:c r="D235" s="27"/>
      <x:c r="E235" s="27"/>
      <x:c r="F235" s="27"/>
      <x:c r="G235" s="27"/>
      <x:c r="H235" s="27"/>
      <x:c r="I235" s="27"/>
      <x:c r="J235" s="27"/>
      <x:c r="K235" s="27"/>
      <x:c r="L235" s="27"/>
      <x:c r="M235" s="27"/>
      <x:c r="N235" s="27"/>
      <x:c r="O235" s="27"/>
      <x:c r="P235" s="27"/>
      <x:c r="Q235" s="27"/>
      <x:c r="R235" s="27"/>
      <x:c r="S235" s="27"/>
      <x:c r="T235" s="27"/>
      <x:c r="U235" s="27"/>
      <x:c r="V235" s="27"/>
    </x:row>
    <x:row r="236">
      <x:c r="A236" s="27"/>
      <x:c r="B236" s="27"/>
      <x:c r="C236" s="27"/>
      <x:c r="D236" s="27"/>
      <x:c r="E236" s="27"/>
      <x:c r="F236" s="27"/>
      <x:c r="G236" s="27"/>
      <x:c r="H236" s="27"/>
      <x:c r="I236" s="27"/>
      <x:c r="J236" s="27"/>
      <x:c r="K236" s="27"/>
      <x:c r="L236" s="27"/>
      <x:c r="M236" s="27"/>
      <x:c r="N236" s="27"/>
      <x:c r="O236" s="27"/>
      <x:c r="P236" s="27"/>
      <x:c r="Q236" s="27"/>
      <x:c r="R236" s="27"/>
      <x:c r="S236" s="27"/>
      <x:c r="T236" s="27"/>
      <x:c r="U236" s="27"/>
      <x:c r="V236" s="27"/>
    </x:row>
    <x:row r="237">
      <x:c r="A237" s="27"/>
      <x:c r="B237" s="27"/>
      <x:c r="C237" s="27"/>
      <x:c r="D237" s="27"/>
      <x:c r="E237" s="27"/>
      <x:c r="F237" s="27"/>
      <x:c r="G237" s="27"/>
      <x:c r="H237" s="27"/>
      <x:c r="I237" s="27"/>
      <x:c r="J237" s="27"/>
      <x:c r="K237" s="27"/>
      <x:c r="L237" s="27"/>
      <x:c r="M237" s="27"/>
      <x:c r="N237" s="27"/>
      <x:c r="O237" s="27"/>
      <x:c r="P237" s="27"/>
      <x:c r="Q237" s="27"/>
      <x:c r="R237" s="27"/>
      <x:c r="S237" s="27"/>
      <x:c r="T237" s="27"/>
      <x:c r="U237" s="27"/>
      <x:c r="V237" s="27"/>
    </x:row>
    <x:row r="238">
      <x:c r="A238" s="27"/>
      <x:c r="B238" s="27"/>
      <x:c r="C238" s="27"/>
      <x:c r="D238" s="27"/>
      <x:c r="E238" s="27"/>
      <x:c r="F238" s="27"/>
      <x:c r="G238" s="27"/>
      <x:c r="H238" s="27"/>
      <x:c r="I238" s="27"/>
      <x:c r="J238" s="27"/>
      <x:c r="K238" s="27"/>
      <x:c r="L238" s="27"/>
      <x:c r="M238" s="27"/>
      <x:c r="N238" s="27"/>
      <x:c r="O238" s="27"/>
      <x:c r="P238" s="27"/>
      <x:c r="Q238" s="27"/>
      <x:c r="R238" s="27"/>
      <x:c r="S238" s="27"/>
      <x:c r="T238" s="27"/>
      <x:c r="U238" s="27"/>
      <x:c r="V238" s="27"/>
    </x:row>
    <x:row r="239">
      <x:c r="A239" s="27"/>
      <x:c r="B239" s="27"/>
      <x:c r="C239" s="27"/>
      <x:c r="D239" s="27"/>
      <x:c r="E239" s="27"/>
      <x:c r="F239" s="27"/>
      <x:c r="G239" s="27"/>
      <x:c r="H239" s="27"/>
      <x:c r="I239" s="27"/>
      <x:c r="J239" s="27"/>
      <x:c r="K239" s="27"/>
      <x:c r="L239" s="27"/>
      <x:c r="M239" s="27"/>
      <x:c r="N239" s="27"/>
      <x:c r="O239" s="27"/>
      <x:c r="P239" s="27"/>
      <x:c r="Q239" s="27"/>
      <x:c r="R239" s="27"/>
      <x:c r="S239" s="27"/>
      <x:c r="T239" s="27"/>
      <x:c r="U239" s="27"/>
      <x:c r="V239" s="27"/>
    </x:row>
    <x:row r="240">
      <x:c r="A240" s="27"/>
      <x:c r="B240" s="27"/>
      <x:c r="C240" s="27"/>
      <x:c r="D240" s="27"/>
      <x:c r="E240" s="27"/>
      <x:c r="F240" s="27"/>
      <x:c r="G240" s="27"/>
      <x:c r="H240" s="27"/>
      <x:c r="I240" s="27"/>
      <x:c r="J240" s="27"/>
      <x:c r="K240" s="27"/>
      <x:c r="L240" s="27"/>
      <x:c r="M240" s="27"/>
      <x:c r="N240" s="27"/>
      <x:c r="O240" s="27"/>
      <x:c r="P240" s="27"/>
      <x:c r="Q240" s="27"/>
      <x:c r="R240" s="27"/>
      <x:c r="S240" s="27"/>
      <x:c r="T240" s="27"/>
      <x:c r="U240" s="27"/>
      <x:c r="V240" s="27"/>
    </x:row>
    <x:row r="241">
      <x:c r="A241" s="27"/>
      <x:c r="B241" s="27"/>
      <x:c r="C241" s="27"/>
      <x:c r="D241" s="27"/>
      <x:c r="E241" s="27"/>
      <x:c r="F241" s="27"/>
      <x:c r="G241" s="27"/>
      <x:c r="H241" s="27"/>
      <x:c r="I241" s="27"/>
      <x:c r="J241" s="27"/>
      <x:c r="K241" s="27"/>
      <x:c r="L241" s="27"/>
      <x:c r="M241" s="27"/>
      <x:c r="N241" s="27"/>
      <x:c r="O241" s="27"/>
      <x:c r="P241" s="27"/>
      <x:c r="Q241" s="27"/>
      <x:c r="R241" s="27"/>
      <x:c r="S241" s="27"/>
      <x:c r="T241" s="27"/>
      <x:c r="U241" s="27"/>
      <x:c r="V241" s="27"/>
    </x:row>
    <x:row r="242">
      <x:c r="A242" s="27"/>
      <x:c r="B242" s="27"/>
      <x:c r="C242" s="27"/>
      <x:c r="D242" s="27"/>
      <x:c r="E242" s="27"/>
      <x:c r="F242" s="27"/>
      <x:c r="G242" s="27"/>
      <x:c r="H242" s="27"/>
      <x:c r="I242" s="27"/>
      <x:c r="J242" s="27"/>
      <x:c r="K242" s="27"/>
      <x:c r="L242" s="27"/>
      <x:c r="M242" s="27"/>
      <x:c r="N242" s="27"/>
      <x:c r="O242" s="27"/>
      <x:c r="P242" s="27"/>
      <x:c r="Q242" s="27"/>
      <x:c r="R242" s="27"/>
      <x:c r="S242" s="27"/>
      <x:c r="T242" s="27"/>
      <x:c r="U242" s="27"/>
      <x:c r="V242" s="27"/>
    </x:row>
    <x:row r="243">
      <x:c r="A243" s="27"/>
      <x:c r="B243" s="27"/>
      <x:c r="C243" s="27"/>
      <x:c r="D243" s="27"/>
      <x:c r="E243" s="27"/>
      <x:c r="F243" s="27"/>
      <x:c r="G243" s="27"/>
      <x:c r="H243" s="27"/>
      <x:c r="I243" s="27"/>
      <x:c r="J243" s="27"/>
      <x:c r="K243" s="27"/>
      <x:c r="L243" s="27"/>
      <x:c r="M243" s="27"/>
      <x:c r="N243" s="27"/>
      <x:c r="O243" s="27"/>
      <x:c r="P243" s="27"/>
      <x:c r="Q243" s="27"/>
      <x:c r="R243" s="27"/>
      <x:c r="S243" s="27"/>
      <x:c r="T243" s="27"/>
      <x:c r="U243" s="27"/>
      <x:c r="V243" s="27"/>
    </x:row>
    <x:row r="244">
      <x:c r="A244" s="27"/>
      <x:c r="B244" s="27"/>
      <x:c r="C244" s="27"/>
      <x:c r="D244" s="27"/>
      <x:c r="E244" s="27"/>
      <x:c r="F244" s="27"/>
      <x:c r="G244" s="27"/>
      <x:c r="H244" s="27"/>
      <x:c r="I244" s="27"/>
      <x:c r="J244" s="27"/>
      <x:c r="K244" s="27"/>
      <x:c r="L244" s="27"/>
      <x:c r="M244" s="27"/>
      <x:c r="N244" s="27"/>
      <x:c r="O244" s="27"/>
      <x:c r="P244" s="27"/>
      <x:c r="Q244" s="27"/>
      <x:c r="R244" s="27"/>
      <x:c r="S244" s="27"/>
      <x:c r="T244" s="27"/>
      <x:c r="U244" s="27"/>
      <x:c r="V244" s="27"/>
    </x:row>
    <x:row r="245">
      <x:c r="A245" s="27"/>
      <x:c r="B245" s="27"/>
      <x:c r="C245" s="27"/>
      <x:c r="D245" s="27"/>
      <x:c r="E245" s="27"/>
      <x:c r="F245" s="27"/>
      <x:c r="G245" s="27"/>
      <x:c r="H245" s="27"/>
      <x:c r="I245" s="27"/>
      <x:c r="J245" s="27"/>
      <x:c r="K245" s="27"/>
      <x:c r="L245" s="27"/>
      <x:c r="M245" s="27"/>
      <x:c r="N245" s="27"/>
      <x:c r="O245" s="27"/>
      <x:c r="P245" s="27"/>
      <x:c r="Q245" s="27"/>
      <x:c r="R245" s="27"/>
      <x:c r="S245" s="27"/>
      <x:c r="T245" s="27"/>
      <x:c r="U245" s="27"/>
      <x:c r="V245" s="27"/>
    </x:row>
    <x:row r="246">
      <x:c r="A246" s="27"/>
      <x:c r="B246" s="27"/>
      <x:c r="C246" s="27"/>
      <x:c r="D246" s="27"/>
      <x:c r="E246" s="27"/>
      <x:c r="F246" s="27"/>
      <x:c r="G246" s="27"/>
      <x:c r="H246" s="27"/>
      <x:c r="I246" s="27"/>
      <x:c r="J246" s="27"/>
      <x:c r="K246" s="27"/>
      <x:c r="L246" s="27"/>
      <x:c r="M246" s="27"/>
      <x:c r="N246" s="27"/>
      <x:c r="O246" s="27"/>
      <x:c r="P246" s="27"/>
      <x:c r="Q246" s="27"/>
      <x:c r="R246" s="27"/>
      <x:c r="S246" s="27"/>
      <x:c r="T246" s="27"/>
      <x:c r="U246" s="27"/>
      <x:c r="V246" s="27"/>
    </x:row>
    <x:row r="247">
      <x:c r="A247" s="27"/>
      <x:c r="B247" s="27"/>
      <x:c r="C247" s="27"/>
      <x:c r="D247" s="27"/>
      <x:c r="E247" s="27"/>
      <x:c r="F247" s="27"/>
      <x:c r="G247" s="27"/>
      <x:c r="H247" s="27"/>
      <x:c r="I247" s="27"/>
      <x:c r="J247" s="27"/>
      <x:c r="K247" s="27"/>
      <x:c r="L247" s="27"/>
      <x:c r="M247" s="27"/>
      <x:c r="N247" s="27"/>
      <x:c r="O247" s="27"/>
      <x:c r="P247" s="27"/>
      <x:c r="Q247" s="27"/>
      <x:c r="R247" s="27"/>
      <x:c r="S247" s="27"/>
      <x:c r="T247" s="27"/>
      <x:c r="U247" s="27"/>
      <x:c r="V247" s="27"/>
    </x:row>
    <x:row r="248">
      <x:c r="A248" s="27"/>
      <x:c r="B248" s="27"/>
      <x:c r="C248" s="27"/>
      <x:c r="D248" s="27"/>
      <x:c r="E248" s="27"/>
      <x:c r="F248" s="27"/>
      <x:c r="G248" s="27"/>
      <x:c r="H248" s="27"/>
      <x:c r="I248" s="27"/>
      <x:c r="J248" s="27"/>
      <x:c r="K248" s="27"/>
      <x:c r="L248" s="27"/>
      <x:c r="M248" s="27"/>
      <x:c r="N248" s="27"/>
      <x:c r="O248" s="27"/>
      <x:c r="P248" s="27"/>
      <x:c r="Q248" s="27"/>
      <x:c r="R248" s="27"/>
      <x:c r="S248" s="27"/>
      <x:c r="T248" s="27"/>
      <x:c r="U248" s="27"/>
      <x:c r="V248" s="27"/>
    </x:row>
    <x:row r="249">
      <x:c r="A249" s="27"/>
      <x:c r="B249" s="27"/>
      <x:c r="C249" s="27"/>
      <x:c r="D249" s="27"/>
      <x:c r="E249" s="27"/>
      <x:c r="F249" s="27"/>
      <x:c r="G249" s="27"/>
      <x:c r="H249" s="27"/>
      <x:c r="I249" s="27"/>
      <x:c r="J249" s="27"/>
      <x:c r="K249" s="27"/>
      <x:c r="L249" s="27"/>
      <x:c r="M249" s="27"/>
      <x:c r="N249" s="27"/>
      <x:c r="O249" s="27"/>
      <x:c r="P249" s="27"/>
      <x:c r="Q249" s="27"/>
      <x:c r="R249" s="27"/>
      <x:c r="S249" s="27"/>
      <x:c r="T249" s="27"/>
      <x:c r="U249" s="27"/>
      <x:c r="V249" s="27"/>
    </x:row>
    <x:row r="250">
      <x:c r="A250" s="27"/>
      <x:c r="B250" s="27"/>
      <x:c r="C250" s="27"/>
      <x:c r="D250" s="27"/>
      <x:c r="E250" s="27"/>
      <x:c r="F250" s="27"/>
      <x:c r="G250" s="27"/>
      <x:c r="H250" s="27"/>
      <x:c r="I250" s="27"/>
      <x:c r="J250" s="27"/>
      <x:c r="K250" s="27"/>
      <x:c r="L250" s="27"/>
      <x:c r="M250" s="27"/>
      <x:c r="N250" s="27"/>
      <x:c r="O250" s="27"/>
      <x:c r="P250" s="27"/>
      <x:c r="Q250" s="27"/>
      <x:c r="R250" s="27"/>
      <x:c r="S250" s="27"/>
      <x:c r="T250" s="27"/>
      <x:c r="U250" s="27"/>
      <x:c r="V250" s="27"/>
    </x:row>
    <x:row r="251">
      <x:c r="A251" s="27"/>
      <x:c r="B251" s="27"/>
      <x:c r="C251" s="27"/>
      <x:c r="D251" s="27"/>
      <x:c r="E251" s="27"/>
      <x:c r="F251" s="27"/>
      <x:c r="G251" s="27"/>
      <x:c r="H251" s="27"/>
      <x:c r="I251" s="27"/>
      <x:c r="J251" s="27"/>
      <x:c r="K251" s="27"/>
      <x:c r="L251" s="27"/>
      <x:c r="M251" s="27"/>
      <x:c r="N251" s="27"/>
      <x:c r="O251" s="27"/>
      <x:c r="P251" s="27"/>
      <x:c r="Q251" s="27"/>
      <x:c r="R251" s="27"/>
      <x:c r="S251" s="27"/>
      <x:c r="T251" s="27"/>
      <x:c r="U251" s="27"/>
      <x:c r="V251" s="27"/>
    </x:row>
    <x:row r="252">
      <x:c r="A252" s="27"/>
      <x:c r="B252" s="27"/>
      <x:c r="C252" s="27"/>
      <x:c r="D252" s="27"/>
      <x:c r="E252" s="27"/>
      <x:c r="F252" s="27"/>
      <x:c r="G252" s="27"/>
      <x:c r="H252" s="27"/>
      <x:c r="I252" s="27"/>
      <x:c r="J252" s="27"/>
      <x:c r="K252" s="27"/>
      <x:c r="L252" s="27"/>
      <x:c r="M252" s="27"/>
      <x:c r="N252" s="27"/>
      <x:c r="O252" s="27"/>
      <x:c r="P252" s="27"/>
      <x:c r="Q252" s="27"/>
      <x:c r="R252" s="27"/>
      <x:c r="S252" s="27"/>
      <x:c r="T252" s="27"/>
      <x:c r="U252" s="27"/>
      <x:c r="V252" s="27"/>
    </x:row>
    <x:row r="253">
      <x:c r="A253" s="27"/>
      <x:c r="B253" s="27"/>
      <x:c r="C253" s="27"/>
      <x:c r="D253" s="27"/>
      <x:c r="E253" s="27"/>
      <x:c r="F253" s="27"/>
      <x:c r="G253" s="27"/>
      <x:c r="H253" s="27"/>
      <x:c r="I253" s="27"/>
      <x:c r="J253" s="27"/>
      <x:c r="K253" s="27"/>
      <x:c r="L253" s="27"/>
      <x:c r="M253" s="27"/>
      <x:c r="N253" s="27"/>
      <x:c r="O253" s="27"/>
      <x:c r="P253" s="27"/>
      <x:c r="Q253" s="27"/>
      <x:c r="R253" s="27"/>
      <x:c r="S253" s="27"/>
      <x:c r="T253" s="27"/>
      <x:c r="U253" s="27"/>
      <x:c r="V253" s="27"/>
    </x:row>
    <x:row r="254">
      <x:c r="A254" s="27"/>
      <x:c r="B254" s="27"/>
      <x:c r="C254" s="27"/>
      <x:c r="D254" s="27"/>
      <x:c r="E254" s="27"/>
      <x:c r="F254" s="27"/>
      <x:c r="G254" s="27"/>
      <x:c r="H254" s="27"/>
      <x:c r="I254" s="27"/>
      <x:c r="J254" s="27"/>
      <x:c r="K254" s="27"/>
      <x:c r="L254" s="27"/>
      <x:c r="M254" s="27"/>
      <x:c r="N254" s="27"/>
      <x:c r="O254" s="27"/>
      <x:c r="P254" s="27"/>
      <x:c r="Q254" s="27"/>
      <x:c r="R254" s="27"/>
      <x:c r="S254" s="27"/>
      <x:c r="T254" s="27"/>
      <x:c r="U254" s="27"/>
      <x:c r="V254" s="27"/>
    </x:row>
    <x:row r="255">
      <x:c r="A255" s="27"/>
      <x:c r="B255" s="27"/>
      <x:c r="C255" s="27"/>
      <x:c r="D255" s="27"/>
      <x:c r="E255" s="27"/>
      <x:c r="F255" s="27"/>
      <x:c r="G255" s="27"/>
      <x:c r="H255" s="27"/>
      <x:c r="I255" s="27"/>
      <x:c r="J255" s="27"/>
      <x:c r="K255" s="27"/>
      <x:c r="L255" s="27"/>
      <x:c r="M255" s="27"/>
      <x:c r="N255" s="27"/>
      <x:c r="O255" s="27"/>
      <x:c r="P255" s="27"/>
      <x:c r="Q255" s="27"/>
      <x:c r="R255" s="27"/>
      <x:c r="S255" s="27"/>
      <x:c r="T255" s="27"/>
      <x:c r="U255" s="27"/>
      <x:c r="V255" s="27"/>
    </x:row>
    <x:row r="256">
      <x:c r="A256" s="27"/>
      <x:c r="B256" s="27"/>
      <x:c r="C256" s="27"/>
      <x:c r="D256" s="27"/>
      <x:c r="E256" s="27"/>
      <x:c r="F256" s="27"/>
      <x:c r="G256" s="27"/>
      <x:c r="H256" s="27"/>
      <x:c r="I256" s="27"/>
      <x:c r="J256" s="27"/>
      <x:c r="K256" s="27"/>
      <x:c r="L256" s="27"/>
      <x:c r="M256" s="27"/>
      <x:c r="N256" s="27"/>
      <x:c r="O256" s="27"/>
      <x:c r="P256" s="27"/>
      <x:c r="Q256" s="27"/>
      <x:c r="R256" s="27"/>
      <x:c r="S256" s="27"/>
      <x:c r="T256" s="27"/>
      <x:c r="U256" s="27"/>
      <x:c r="V256" s="27"/>
    </x:row>
    <x:row r="257">
      <x:c r="A257" s="27"/>
      <x:c r="B257" s="27"/>
      <x:c r="C257" s="27"/>
      <x:c r="D257" s="27"/>
      <x:c r="E257" s="27"/>
      <x:c r="F257" s="27"/>
      <x:c r="G257" s="27"/>
      <x:c r="H257" s="27"/>
      <x:c r="I257" s="27"/>
      <x:c r="J257" s="27"/>
      <x:c r="K257" s="27"/>
      <x:c r="L257" s="27"/>
      <x:c r="M257" s="27"/>
      <x:c r="N257" s="27"/>
      <x:c r="O257" s="27"/>
      <x:c r="P257" s="27"/>
      <x:c r="Q257" s="27"/>
      <x:c r="R257" s="27"/>
      <x:c r="S257" s="27"/>
      <x:c r="T257" s="27"/>
      <x:c r="U257" s="27"/>
      <x:c r="V257" s="27"/>
    </x:row>
    <x:row r="258">
      <x:c r="A258" s="27"/>
      <x:c r="B258" s="27"/>
      <x:c r="C258" s="27"/>
      <x:c r="D258" s="27"/>
      <x:c r="E258" s="27"/>
      <x:c r="F258" s="27"/>
      <x:c r="G258" s="27"/>
      <x:c r="H258" s="27"/>
      <x:c r="I258" s="27"/>
      <x:c r="J258" s="27"/>
      <x:c r="K258" s="27"/>
      <x:c r="L258" s="27"/>
      <x:c r="M258" s="27"/>
      <x:c r="N258" s="27"/>
      <x:c r="O258" s="27"/>
      <x:c r="P258" s="27"/>
      <x:c r="Q258" s="27"/>
      <x:c r="R258" s="27"/>
      <x:c r="S258" s="27"/>
      <x:c r="T258" s="27"/>
      <x:c r="U258" s="27"/>
      <x:c r="V258" s="27"/>
    </x:row>
    <x:row r="259">
      <x:c r="A259" s="27"/>
      <x:c r="B259" s="27"/>
      <x:c r="C259" s="27"/>
      <x:c r="D259" s="27"/>
      <x:c r="E259" s="27"/>
      <x:c r="F259" s="27"/>
      <x:c r="G259" s="27"/>
      <x:c r="H259" s="27"/>
      <x:c r="I259" s="27"/>
      <x:c r="J259" s="27"/>
      <x:c r="K259" s="27"/>
      <x:c r="L259" s="27"/>
      <x:c r="M259" s="27"/>
      <x:c r="N259" s="27"/>
      <x:c r="O259" s="27"/>
      <x:c r="P259" s="27"/>
      <x:c r="Q259" s="27"/>
      <x:c r="R259" s="27"/>
      <x:c r="S259" s="27"/>
      <x:c r="T259" s="27"/>
      <x:c r="U259" s="27"/>
      <x:c r="V259" s="27"/>
    </x:row>
    <x:row r="260">
      <x:c r="A260" s="27"/>
      <x:c r="B260" s="27"/>
      <x:c r="C260" s="27"/>
      <x:c r="D260" s="27"/>
      <x:c r="E260" s="27"/>
      <x:c r="F260" s="27"/>
      <x:c r="G260" s="27"/>
      <x:c r="H260" s="27"/>
      <x:c r="I260" s="27"/>
      <x:c r="J260" s="27"/>
      <x:c r="K260" s="27"/>
      <x:c r="L260" s="27"/>
      <x:c r="M260" s="27"/>
      <x:c r="N260" s="27"/>
      <x:c r="O260" s="27"/>
      <x:c r="P260" s="27"/>
      <x:c r="Q260" s="27"/>
      <x:c r="R260" s="27"/>
      <x:c r="S260" s="27"/>
      <x:c r="T260" s="27"/>
      <x:c r="U260" s="27"/>
      <x:c r="V260" s="27"/>
    </x:row>
    <x:row r="261">
      <x:c r="A261" s="27"/>
      <x:c r="B261" s="27"/>
      <x:c r="C261" s="27"/>
      <x:c r="D261" s="27"/>
      <x:c r="E261" s="27"/>
      <x:c r="F261" s="27"/>
      <x:c r="G261" s="27"/>
      <x:c r="H261" s="27"/>
      <x:c r="I261" s="27"/>
      <x:c r="J261" s="27"/>
      <x:c r="K261" s="27"/>
      <x:c r="L261" s="27"/>
      <x:c r="M261" s="27"/>
      <x:c r="N261" s="27"/>
      <x:c r="O261" s="27"/>
      <x:c r="P261" s="27"/>
      <x:c r="Q261" s="27"/>
      <x:c r="R261" s="27"/>
      <x:c r="S261" s="27"/>
      <x:c r="T261" s="27"/>
      <x:c r="U261" s="27"/>
      <x:c r="V261" s="27"/>
    </x:row>
    <x:row r="262">
      <x:c r="A262" s="27"/>
      <x:c r="B262" s="27"/>
      <x:c r="C262" s="27"/>
      <x:c r="D262" s="27"/>
      <x:c r="E262" s="27"/>
      <x:c r="F262" s="27"/>
      <x:c r="G262" s="27"/>
      <x:c r="H262" s="27"/>
      <x:c r="I262" s="27"/>
      <x:c r="J262" s="27"/>
      <x:c r="K262" s="27"/>
      <x:c r="L262" s="27"/>
      <x:c r="M262" s="27"/>
      <x:c r="N262" s="27"/>
      <x:c r="O262" s="27"/>
      <x:c r="P262" s="27"/>
      <x:c r="Q262" s="27"/>
      <x:c r="R262" s="27"/>
      <x:c r="S262" s="27"/>
      <x:c r="T262" s="27"/>
      <x:c r="U262" s="27"/>
      <x:c r="V262" s="27"/>
    </x:row>
    <x:row r="263">
      <x:c r="A263" s="27"/>
      <x:c r="B263" s="27"/>
      <x:c r="C263" s="27"/>
      <x:c r="D263" s="27"/>
      <x:c r="E263" s="27"/>
      <x:c r="F263" s="27"/>
      <x:c r="G263" s="27"/>
      <x:c r="H263" s="27"/>
      <x:c r="I263" s="27"/>
      <x:c r="J263" s="27"/>
      <x:c r="K263" s="27"/>
      <x:c r="L263" s="27"/>
      <x:c r="M263" s="27"/>
      <x:c r="N263" s="27"/>
      <x:c r="O263" s="27"/>
      <x:c r="P263" s="27"/>
      <x:c r="Q263" s="27"/>
      <x:c r="R263" s="27"/>
      <x:c r="S263" s="27"/>
      <x:c r="T263" s="27"/>
      <x:c r="U263" s="27"/>
      <x:c r="V263" s="27"/>
    </x:row>
    <x:row r="264">
      <x:c r="A264" s="27"/>
      <x:c r="B264" s="27"/>
      <x:c r="C264" s="27"/>
      <x:c r="D264" s="27"/>
      <x:c r="E264" s="27"/>
      <x:c r="F264" s="27"/>
      <x:c r="G264" s="27"/>
      <x:c r="H264" s="27"/>
      <x:c r="I264" s="27"/>
      <x:c r="J264" s="27"/>
      <x:c r="K264" s="27"/>
      <x:c r="L264" s="27"/>
      <x:c r="M264" s="27"/>
      <x:c r="N264" s="27"/>
      <x:c r="O264" s="27"/>
      <x:c r="P264" s="27"/>
      <x:c r="Q264" s="27"/>
      <x:c r="R264" s="27"/>
      <x:c r="S264" s="27"/>
      <x:c r="T264" s="27"/>
      <x:c r="U264" s="27"/>
      <x:c r="V264" s="27"/>
    </x:row>
    <x:row r="265">
      <x:c r="A265" s="27"/>
      <x:c r="B265" s="27"/>
      <x:c r="C265" s="27"/>
      <x:c r="D265" s="27"/>
      <x:c r="E265" s="27"/>
      <x:c r="F265" s="27"/>
      <x:c r="G265" s="27"/>
      <x:c r="H265" s="27"/>
      <x:c r="I265" s="27"/>
      <x:c r="J265" s="27"/>
      <x:c r="K265" s="27"/>
      <x:c r="L265" s="27"/>
      <x:c r="M265" s="27"/>
      <x:c r="N265" s="27"/>
      <x:c r="O265" s="27"/>
      <x:c r="P265" s="27"/>
      <x:c r="Q265" s="27"/>
      <x:c r="R265" s="27"/>
      <x:c r="S265" s="27"/>
      <x:c r="T265" s="27"/>
      <x:c r="U265" s="27"/>
      <x:c r="V265" s="27"/>
    </x:row>
    <x:row r="266">
      <x:c r="A266" s="27"/>
      <x:c r="B266" s="27"/>
      <x:c r="C266" s="27"/>
      <x:c r="D266" s="27"/>
      <x:c r="E266" s="27"/>
      <x:c r="F266" s="27"/>
      <x:c r="G266" s="27"/>
      <x:c r="H266" s="27"/>
      <x:c r="I266" s="27"/>
      <x:c r="J266" s="27"/>
      <x:c r="K266" s="27"/>
      <x:c r="L266" s="27"/>
      <x:c r="M266" s="27"/>
      <x:c r="N266" s="27"/>
      <x:c r="O266" s="27"/>
      <x:c r="P266" s="27"/>
      <x:c r="Q266" s="27"/>
      <x:c r="R266" s="27"/>
      <x:c r="S266" s="27"/>
      <x:c r="T266" s="27"/>
      <x:c r="U266" s="27"/>
      <x:c r="V266" s="27"/>
    </x:row>
    <x:row r="267">
      <x:c r="A267" s="27"/>
      <x:c r="B267" s="27"/>
      <x:c r="C267" s="27"/>
      <x:c r="D267" s="27"/>
      <x:c r="E267" s="27"/>
      <x:c r="F267" s="27"/>
      <x:c r="G267" s="27"/>
      <x:c r="H267" s="27"/>
      <x:c r="I267" s="27"/>
      <x:c r="J267" s="27"/>
      <x:c r="K267" s="27"/>
      <x:c r="L267" s="27"/>
      <x:c r="M267" s="27"/>
      <x:c r="N267" s="27"/>
      <x:c r="O267" s="27"/>
      <x:c r="P267" s="27"/>
      <x:c r="Q267" s="27"/>
      <x:c r="R267" s="27"/>
      <x:c r="S267" s="27"/>
      <x:c r="T267" s="27"/>
      <x:c r="U267" s="27"/>
      <x:c r="V267" s="27"/>
    </x:row>
    <x:row r="268">
      <x:c r="A268" s="27"/>
      <x:c r="B268" s="27"/>
      <x:c r="C268" s="27"/>
      <x:c r="D268" s="27"/>
      <x:c r="E268" s="27"/>
      <x:c r="F268" s="27"/>
      <x:c r="G268" s="27"/>
      <x:c r="H268" s="27"/>
      <x:c r="I268" s="27"/>
      <x:c r="J268" s="27"/>
      <x:c r="K268" s="27"/>
      <x:c r="L268" s="27"/>
      <x:c r="M268" s="27"/>
      <x:c r="N268" s="27"/>
      <x:c r="O268" s="27"/>
      <x:c r="P268" s="27"/>
      <x:c r="Q268" s="27"/>
      <x:c r="R268" s="27"/>
      <x:c r="S268" s="27"/>
      <x:c r="T268" s="27"/>
      <x:c r="U268" s="27"/>
      <x:c r="V268" s="27"/>
    </x:row>
    <x:row r="269">
      <x:c r="A269" s="27"/>
      <x:c r="B269" s="27"/>
      <x:c r="C269" s="27"/>
      <x:c r="D269" s="27"/>
      <x:c r="E269" s="27"/>
      <x:c r="F269" s="27"/>
      <x:c r="G269" s="27"/>
      <x:c r="H269" s="27"/>
      <x:c r="I269" s="27"/>
      <x:c r="J269" s="27"/>
      <x:c r="K269" s="27"/>
      <x:c r="L269" s="27"/>
      <x:c r="M269" s="27"/>
      <x:c r="N269" s="27"/>
      <x:c r="O269" s="27"/>
      <x:c r="P269" s="27"/>
      <x:c r="Q269" s="27"/>
      <x:c r="R269" s="27"/>
      <x:c r="S269" s="27"/>
      <x:c r="T269" s="27"/>
      <x:c r="U269" s="27"/>
      <x:c r="V269" s="27"/>
    </x:row>
    <x:row r="270">
      <x:c r="A270" s="27"/>
      <x:c r="B270" s="27"/>
      <x:c r="C270" s="27"/>
      <x:c r="D270" s="27"/>
      <x:c r="E270" s="27"/>
      <x:c r="F270" s="27"/>
      <x:c r="G270" s="27"/>
      <x:c r="H270" s="27"/>
      <x:c r="I270" s="27"/>
      <x:c r="J270" s="27"/>
      <x:c r="K270" s="27"/>
      <x:c r="L270" s="27"/>
      <x:c r="M270" s="27"/>
      <x:c r="N270" s="27"/>
      <x:c r="O270" s="27"/>
      <x:c r="P270" s="27"/>
      <x:c r="Q270" s="27"/>
      <x:c r="R270" s="27"/>
      <x:c r="S270" s="27"/>
      <x:c r="T270" s="27"/>
      <x:c r="U270" s="27"/>
      <x:c r="V270" s="27"/>
    </x:row>
    <x:row r="271">
      <x:c r="A271" s="27"/>
      <x:c r="B271" s="27"/>
      <x:c r="C271" s="27"/>
      <x:c r="D271" s="27"/>
      <x:c r="E271" s="27"/>
      <x:c r="F271" s="27"/>
      <x:c r="G271" s="27"/>
      <x:c r="H271" s="27"/>
      <x:c r="I271" s="27"/>
      <x:c r="J271" s="27"/>
      <x:c r="K271" s="27"/>
      <x:c r="L271" s="27"/>
      <x:c r="M271" s="27"/>
      <x:c r="N271" s="27"/>
      <x:c r="O271" s="27"/>
      <x:c r="P271" s="27"/>
      <x:c r="Q271" s="27"/>
      <x:c r="R271" s="27"/>
      <x:c r="S271" s="27"/>
      <x:c r="T271" s="27"/>
      <x:c r="U271" s="27"/>
      <x:c r="V271" s="27"/>
    </x:row>
    <x:row r="272">
      <x:c r="A272" s="27"/>
      <x:c r="B272" s="27"/>
      <x:c r="C272" s="27"/>
      <x:c r="D272" s="27"/>
      <x:c r="E272" s="27"/>
      <x:c r="F272" s="27"/>
      <x:c r="G272" s="27"/>
      <x:c r="H272" s="27"/>
      <x:c r="I272" s="27"/>
      <x:c r="J272" s="27"/>
      <x:c r="K272" s="27"/>
      <x:c r="L272" s="27"/>
      <x:c r="M272" s="27"/>
      <x:c r="N272" s="27"/>
      <x:c r="O272" s="27"/>
      <x:c r="P272" s="27"/>
      <x:c r="Q272" s="27"/>
      <x:c r="R272" s="27"/>
      <x:c r="S272" s="27"/>
      <x:c r="T272" s="27"/>
      <x:c r="U272" s="27"/>
      <x:c r="V272" s="27"/>
    </x:row>
    <x:row r="273">
      <x:c r="A273" s="27"/>
      <x:c r="B273" s="27"/>
      <x:c r="C273" s="27"/>
      <x:c r="D273" s="27"/>
      <x:c r="E273" s="27"/>
      <x:c r="F273" s="27"/>
      <x:c r="G273" s="27"/>
      <x:c r="H273" s="27"/>
      <x:c r="I273" s="27"/>
      <x:c r="J273" s="27"/>
      <x:c r="K273" s="27"/>
      <x:c r="L273" s="27"/>
      <x:c r="M273" s="27"/>
      <x:c r="N273" s="27"/>
      <x:c r="O273" s="27"/>
      <x:c r="P273" s="27"/>
      <x:c r="Q273" s="27"/>
      <x:c r="R273" s="27"/>
      <x:c r="S273" s="27"/>
      <x:c r="T273" s="27"/>
      <x:c r="U273" s="27"/>
      <x:c r="V273" s="27"/>
    </x:row>
    <x:row r="274">
      <x:c r="A274" s="27"/>
      <x:c r="B274" s="27"/>
      <x:c r="C274" s="27"/>
      <x:c r="D274" s="27"/>
      <x:c r="E274" s="27"/>
      <x:c r="F274" s="27"/>
      <x:c r="G274" s="27"/>
      <x:c r="H274" s="27"/>
      <x:c r="I274" s="27"/>
      <x:c r="J274" s="27"/>
      <x:c r="K274" s="27"/>
      <x:c r="L274" s="27"/>
      <x:c r="M274" s="27"/>
      <x:c r="N274" s="27"/>
      <x:c r="O274" s="27"/>
      <x:c r="P274" s="27"/>
      <x:c r="Q274" s="27"/>
      <x:c r="R274" s="27"/>
      <x:c r="S274" s="27"/>
      <x:c r="T274" s="27"/>
      <x:c r="U274" s="27"/>
      <x:c r="V274" s="27"/>
    </x:row>
    <x:row r="275">
      <x:c r="A275" s="27"/>
      <x:c r="B275" s="27"/>
      <x:c r="C275" s="27"/>
      <x:c r="D275" s="27"/>
      <x:c r="E275" s="27"/>
      <x:c r="F275" s="27"/>
      <x:c r="G275" s="27"/>
      <x:c r="H275" s="27"/>
      <x:c r="I275" s="27"/>
      <x:c r="J275" s="27"/>
      <x:c r="K275" s="27"/>
      <x:c r="L275" s="27"/>
      <x:c r="M275" s="27"/>
      <x:c r="N275" s="27"/>
      <x:c r="O275" s="27"/>
      <x:c r="P275" s="27"/>
      <x:c r="Q275" s="27"/>
      <x:c r="R275" s="27"/>
      <x:c r="S275" s="27"/>
      <x:c r="T275" s="27"/>
      <x:c r="U275" s="27"/>
      <x:c r="V275" s="27"/>
    </x:row>
    <x:row r="276">
      <x:c r="A276" s="27"/>
      <x:c r="B276" s="27"/>
      <x:c r="C276" s="27"/>
      <x:c r="D276" s="27"/>
      <x:c r="E276" s="27"/>
      <x:c r="F276" s="27"/>
      <x:c r="G276" s="27"/>
      <x:c r="H276" s="27"/>
      <x:c r="I276" s="27"/>
      <x:c r="J276" s="27"/>
      <x:c r="K276" s="27"/>
      <x:c r="L276" s="27"/>
      <x:c r="M276" s="27"/>
      <x:c r="N276" s="27"/>
      <x:c r="O276" s="27"/>
      <x:c r="P276" s="27"/>
      <x:c r="Q276" s="27"/>
      <x:c r="R276" s="27"/>
      <x:c r="S276" s="27"/>
      <x:c r="T276" s="27"/>
      <x:c r="U276" s="27"/>
      <x:c r="V276" s="27"/>
    </x:row>
    <x:row r="277">
      <x:c r="A277" s="27"/>
      <x:c r="B277" s="27"/>
      <x:c r="C277" s="27"/>
      <x:c r="D277" s="27"/>
      <x:c r="E277" s="27"/>
      <x:c r="F277" s="27"/>
      <x:c r="G277" s="27"/>
      <x:c r="H277" s="27"/>
      <x:c r="I277" s="27"/>
      <x:c r="J277" s="27"/>
      <x:c r="K277" s="27"/>
      <x:c r="L277" s="27"/>
      <x:c r="M277" s="27"/>
      <x:c r="N277" s="27"/>
      <x:c r="O277" s="27"/>
      <x:c r="P277" s="27"/>
      <x:c r="Q277" s="27"/>
      <x:c r="R277" s="27"/>
      <x:c r="S277" s="27"/>
      <x:c r="T277" s="27"/>
      <x:c r="U277" s="27"/>
      <x:c r="V277" s="27"/>
    </x:row>
    <x:row r="278">
      <x:c r="A278" s="27"/>
      <x:c r="B278" s="27"/>
      <x:c r="C278" s="27"/>
      <x:c r="D278" s="27"/>
      <x:c r="E278" s="27"/>
      <x:c r="F278" s="27"/>
      <x:c r="G278" s="27"/>
      <x:c r="H278" s="27"/>
      <x:c r="I278" s="27"/>
      <x:c r="J278" s="27"/>
      <x:c r="K278" s="27"/>
      <x:c r="L278" s="27"/>
      <x:c r="M278" s="27"/>
      <x:c r="N278" s="27"/>
      <x:c r="O278" s="27"/>
      <x:c r="P278" s="27"/>
      <x:c r="Q278" s="27"/>
      <x:c r="R278" s="27"/>
      <x:c r="S278" s="27"/>
      <x:c r="T278" s="27"/>
      <x:c r="U278" s="27"/>
      <x:c r="V278" s="27"/>
    </x:row>
    <x:row r="279">
      <x:c r="A279" s="27"/>
      <x:c r="B279" s="27"/>
      <x:c r="C279" s="27"/>
      <x:c r="D279" s="27"/>
      <x:c r="E279" s="27"/>
      <x:c r="F279" s="27"/>
      <x:c r="G279" s="27"/>
      <x:c r="H279" s="27"/>
      <x:c r="I279" s="27"/>
      <x:c r="J279" s="27"/>
      <x:c r="K279" s="27"/>
      <x:c r="L279" s="27"/>
      <x:c r="M279" s="27"/>
      <x:c r="N279" s="27"/>
      <x:c r="O279" s="27"/>
      <x:c r="P279" s="27"/>
      <x:c r="Q279" s="27"/>
      <x:c r="R279" s="27"/>
      <x:c r="S279" s="27"/>
      <x:c r="T279" s="27"/>
      <x:c r="U279" s="27"/>
      <x:c r="V279" s="27"/>
    </x:row>
    <x:row r="280">
      <x:c r="A280" s="27"/>
      <x:c r="B280" s="27"/>
      <x:c r="C280" s="27"/>
      <x:c r="D280" s="27"/>
      <x:c r="E280" s="27"/>
      <x:c r="F280" s="27"/>
      <x:c r="G280" s="27"/>
      <x:c r="H280" s="27"/>
      <x:c r="I280" s="27"/>
      <x:c r="J280" s="27"/>
      <x:c r="K280" s="27"/>
      <x:c r="L280" s="27"/>
      <x:c r="M280" s="27"/>
      <x:c r="N280" s="27"/>
      <x:c r="O280" s="27"/>
      <x:c r="P280" s="27"/>
      <x:c r="Q280" s="27"/>
      <x:c r="R280" s="27"/>
      <x:c r="S280" s="27"/>
      <x:c r="T280" s="27"/>
      <x:c r="U280" s="27"/>
      <x:c r="V280" s="27"/>
    </x:row>
    <x:row r="281">
      <x:c r="A281" s="27"/>
      <x:c r="B281" s="27"/>
      <x:c r="C281" s="27"/>
      <x:c r="D281" s="27"/>
      <x:c r="E281" s="27"/>
      <x:c r="F281" s="27"/>
      <x:c r="G281" s="27"/>
      <x:c r="H281" s="27"/>
      <x:c r="I281" s="27"/>
      <x:c r="J281" s="27"/>
      <x:c r="K281" s="27"/>
      <x:c r="L281" s="27"/>
      <x:c r="M281" s="27"/>
      <x:c r="N281" s="27"/>
      <x:c r="O281" s="27"/>
      <x:c r="P281" s="27"/>
      <x:c r="Q281" s="27"/>
      <x:c r="R281" s="27"/>
      <x:c r="S281" s="27"/>
      <x:c r="T281" s="27"/>
      <x:c r="U281" s="27"/>
      <x:c r="V281" s="27"/>
    </x:row>
    <x:row r="282">
      <x:c r="A282" s="27"/>
      <x:c r="B282" s="27"/>
      <x:c r="C282" s="27"/>
      <x:c r="D282" s="27"/>
      <x:c r="E282" s="27"/>
      <x:c r="F282" s="27"/>
      <x:c r="G282" s="27"/>
      <x:c r="H282" s="27"/>
      <x:c r="I282" s="27"/>
      <x:c r="J282" s="27"/>
      <x:c r="K282" s="27"/>
      <x:c r="L282" s="27"/>
      <x:c r="M282" s="27"/>
      <x:c r="N282" s="27"/>
      <x:c r="O282" s="27"/>
      <x:c r="P282" s="27"/>
      <x:c r="Q282" s="27"/>
      <x:c r="R282" s="27"/>
      <x:c r="S282" s="27"/>
      <x:c r="T282" s="27"/>
      <x:c r="U282" s="27"/>
      <x:c r="V282" s="27"/>
    </x:row>
    <x:row r="283">
      <x:c r="A283" s="27"/>
      <x:c r="B283" s="27"/>
      <x:c r="C283" s="27"/>
      <x:c r="D283" s="27"/>
      <x:c r="E283" s="27"/>
      <x:c r="F283" s="27"/>
      <x:c r="G283" s="27"/>
      <x:c r="H283" s="27"/>
      <x:c r="I283" s="27"/>
      <x:c r="J283" s="27"/>
      <x:c r="K283" s="27"/>
      <x:c r="L283" s="27"/>
      <x:c r="M283" s="27"/>
      <x:c r="N283" s="27"/>
      <x:c r="O283" s="27"/>
      <x:c r="P283" s="27"/>
      <x:c r="Q283" s="27"/>
      <x:c r="R283" s="27"/>
      <x:c r="S283" s="27"/>
      <x:c r="T283" s="27"/>
      <x:c r="U283" s="27"/>
      <x:c r="V283" s="27"/>
    </x:row>
    <x:row r="284">
      <x:c r="A284" s="27"/>
      <x:c r="B284" s="27"/>
      <x:c r="C284" s="27"/>
      <x:c r="D284" s="27"/>
      <x:c r="E284" s="27"/>
      <x:c r="F284" s="27"/>
      <x:c r="G284" s="27"/>
      <x:c r="H284" s="27"/>
      <x:c r="I284" s="27"/>
      <x:c r="J284" s="27"/>
      <x:c r="K284" s="27"/>
      <x:c r="L284" s="27"/>
      <x:c r="M284" s="27"/>
      <x:c r="N284" s="27"/>
      <x:c r="O284" s="27"/>
      <x:c r="P284" s="27"/>
      <x:c r="Q284" s="27"/>
      <x:c r="R284" s="27"/>
      <x:c r="S284" s="27"/>
      <x:c r="T284" s="27"/>
      <x:c r="U284" s="27"/>
      <x:c r="V284" s="27"/>
    </x:row>
    <x:row r="285">
      <x:c r="A285" s="27"/>
      <x:c r="B285" s="27"/>
      <x:c r="C285" s="27"/>
      <x:c r="D285" s="27"/>
      <x:c r="E285" s="27"/>
      <x:c r="F285" s="27"/>
      <x:c r="G285" s="27"/>
      <x:c r="H285" s="27"/>
      <x:c r="I285" s="27"/>
      <x:c r="J285" s="27"/>
      <x:c r="K285" s="27"/>
      <x:c r="L285" s="27"/>
      <x:c r="M285" s="27"/>
      <x:c r="N285" s="27"/>
      <x:c r="O285" s="27"/>
      <x:c r="P285" s="27"/>
      <x:c r="Q285" s="27"/>
      <x:c r="R285" s="27"/>
      <x:c r="S285" s="27"/>
      <x:c r="T285" s="27"/>
      <x:c r="U285" s="27"/>
      <x:c r="V285" s="27"/>
    </x:row>
    <x:row r="286">
      <x:c r="A286" s="27"/>
      <x:c r="B286" s="27"/>
      <x:c r="C286" s="27"/>
      <x:c r="D286" s="27"/>
      <x:c r="E286" s="27"/>
      <x:c r="F286" s="27"/>
      <x:c r="G286" s="27"/>
      <x:c r="H286" s="27"/>
      <x:c r="I286" s="27"/>
      <x:c r="J286" s="27"/>
      <x:c r="K286" s="27"/>
      <x:c r="L286" s="27"/>
      <x:c r="M286" s="27"/>
      <x:c r="N286" s="27"/>
      <x:c r="O286" s="27"/>
      <x:c r="P286" s="27"/>
      <x:c r="Q286" s="27"/>
      <x:c r="R286" s="27"/>
      <x:c r="S286" s="27"/>
      <x:c r="T286" s="27"/>
      <x:c r="U286" s="27"/>
      <x:c r="V286" s="27"/>
    </x:row>
    <x:row r="287">
      <x:c r="A287" s="27"/>
      <x:c r="B287" s="27"/>
      <x:c r="C287" s="27"/>
      <x:c r="D287" s="27"/>
      <x:c r="E287" s="27"/>
      <x:c r="F287" s="27"/>
      <x:c r="G287" s="27"/>
      <x:c r="H287" s="27"/>
      <x:c r="I287" s="27"/>
      <x:c r="J287" s="27"/>
      <x:c r="K287" s="27"/>
      <x:c r="L287" s="27"/>
      <x:c r="M287" s="27"/>
      <x:c r="N287" s="27"/>
      <x:c r="O287" s="27"/>
      <x:c r="P287" s="27"/>
      <x:c r="Q287" s="27"/>
      <x:c r="R287" s="27"/>
      <x:c r="S287" s="27"/>
      <x:c r="T287" s="27"/>
      <x:c r="U287" s="27"/>
      <x:c r="V287" s="27"/>
    </x:row>
    <x:row r="288">
      <x:c r="A288" s="27"/>
      <x:c r="B288" s="27"/>
      <x:c r="C288" s="27"/>
      <x:c r="D288" s="27"/>
      <x:c r="E288" s="27"/>
      <x:c r="F288" s="27"/>
      <x:c r="G288" s="27"/>
      <x:c r="H288" s="27"/>
      <x:c r="I288" s="27"/>
      <x:c r="J288" s="27"/>
      <x:c r="K288" s="27"/>
      <x:c r="L288" s="27"/>
      <x:c r="M288" s="27"/>
      <x:c r="N288" s="27"/>
      <x:c r="O288" s="27"/>
      <x:c r="P288" s="27"/>
      <x:c r="Q288" s="27"/>
      <x:c r="R288" s="27"/>
      <x:c r="S288" s="27"/>
      <x:c r="T288" s="27"/>
      <x:c r="U288" s="27"/>
      <x:c r="V288" s="27"/>
    </x:row>
    <x:row r="289">
      <x:c r="A289" s="27"/>
      <x:c r="B289" s="27"/>
      <x:c r="C289" s="27"/>
      <x:c r="D289" s="27"/>
      <x:c r="E289" s="27"/>
      <x:c r="F289" s="27"/>
      <x:c r="G289" s="27"/>
      <x:c r="H289" s="27"/>
      <x:c r="I289" s="27"/>
      <x:c r="J289" s="27"/>
      <x:c r="K289" s="27"/>
      <x:c r="L289" s="27"/>
      <x:c r="M289" s="27"/>
      <x:c r="N289" s="27"/>
      <x:c r="O289" s="27"/>
      <x:c r="P289" s="27"/>
      <x:c r="Q289" s="27"/>
      <x:c r="R289" s="27"/>
      <x:c r="S289" s="27"/>
      <x:c r="T289" s="27"/>
      <x:c r="U289" s="27"/>
      <x:c r="V289" s="27"/>
    </x:row>
    <x:row r="290">
      <x:c r="A290" s="27"/>
      <x:c r="B290" s="27"/>
      <x:c r="C290" s="27"/>
      <x:c r="D290" s="27"/>
      <x:c r="E290" s="27"/>
      <x:c r="F290" s="27"/>
      <x:c r="G290" s="27"/>
      <x:c r="H290" s="27"/>
      <x:c r="I290" s="27"/>
      <x:c r="J290" s="27"/>
      <x:c r="K290" s="27"/>
      <x:c r="L290" s="27"/>
      <x:c r="M290" s="27"/>
      <x:c r="N290" s="27"/>
      <x:c r="O290" s="27"/>
      <x:c r="P290" s="27"/>
      <x:c r="Q290" s="27"/>
      <x:c r="R290" s="27"/>
      <x:c r="S290" s="27"/>
      <x:c r="T290" s="27"/>
      <x:c r="U290" s="27"/>
      <x:c r="V290" s="27"/>
    </x:row>
    <x:row r="291">
      <x:c r="A291" s="27"/>
      <x:c r="B291" s="27"/>
      <x:c r="C291" s="27"/>
      <x:c r="D291" s="27"/>
      <x:c r="E291" s="27"/>
      <x:c r="F291" s="27"/>
      <x:c r="G291" s="27"/>
      <x:c r="H291" s="27"/>
      <x:c r="I291" s="27"/>
      <x:c r="J291" s="27"/>
      <x:c r="K291" s="27"/>
      <x:c r="L291" s="27"/>
      <x:c r="M291" s="27"/>
      <x:c r="N291" s="27"/>
      <x:c r="O291" s="27"/>
      <x:c r="P291" s="27"/>
      <x:c r="Q291" s="27"/>
      <x:c r="R291" s="27"/>
      <x:c r="S291" s="27"/>
      <x:c r="T291" s="27"/>
      <x:c r="U291" s="27"/>
      <x:c r="V291" s="27"/>
    </x:row>
    <x:row r="292">
      <x:c r="A292" s="27"/>
      <x:c r="B292" s="27"/>
      <x:c r="C292" s="27"/>
      <x:c r="D292" s="27"/>
      <x:c r="E292" s="27"/>
      <x:c r="F292" s="27"/>
      <x:c r="G292" s="27"/>
      <x:c r="H292" s="27"/>
      <x:c r="I292" s="27"/>
      <x:c r="J292" s="27"/>
      <x:c r="K292" s="27"/>
      <x:c r="L292" s="27"/>
      <x:c r="M292" s="27"/>
      <x:c r="N292" s="27"/>
      <x:c r="O292" s="27"/>
      <x:c r="P292" s="27"/>
      <x:c r="Q292" s="27"/>
      <x:c r="R292" s="27"/>
      <x:c r="S292" s="27"/>
      <x:c r="T292" s="27"/>
      <x:c r="U292" s="27"/>
      <x:c r="V292" s="27"/>
    </x:row>
    <x:row r="293">
      <x:c r="A293" s="27"/>
      <x:c r="B293" s="27"/>
      <x:c r="C293" s="27"/>
      <x:c r="D293" s="27"/>
      <x:c r="E293" s="27"/>
      <x:c r="F293" s="27"/>
      <x:c r="G293" s="27"/>
      <x:c r="H293" s="27"/>
      <x:c r="I293" s="27"/>
      <x:c r="J293" s="27"/>
      <x:c r="K293" s="27"/>
      <x:c r="L293" s="27"/>
      <x:c r="M293" s="27"/>
      <x:c r="N293" s="27"/>
      <x:c r="O293" s="27"/>
      <x:c r="P293" s="27"/>
      <x:c r="Q293" s="27"/>
      <x:c r="R293" s="27"/>
      <x:c r="S293" s="27"/>
      <x:c r="T293" s="27"/>
      <x:c r="U293" s="27"/>
      <x:c r="V293" s="27"/>
    </x:row>
    <x:row r="294">
      <x:c r="A294" s="27"/>
      <x:c r="B294" s="27"/>
      <x:c r="C294" s="27"/>
      <x:c r="D294" s="27"/>
      <x:c r="E294" s="27"/>
      <x:c r="F294" s="27"/>
      <x:c r="G294" s="27"/>
      <x:c r="H294" s="27"/>
      <x:c r="I294" s="27"/>
      <x:c r="J294" s="27"/>
      <x:c r="K294" s="27"/>
      <x:c r="L294" s="27"/>
      <x:c r="M294" s="27"/>
      <x:c r="N294" s="27"/>
      <x:c r="O294" s="27"/>
      <x:c r="P294" s="27"/>
      <x:c r="Q294" s="27"/>
      <x:c r="R294" s="27"/>
      <x:c r="S294" s="27"/>
      <x:c r="T294" s="27"/>
      <x:c r="U294" s="27"/>
      <x:c r="V294" s="27"/>
    </x:row>
    <x:row r="295">
      <x:c r="A295" s="27"/>
      <x:c r="B295" s="27"/>
      <x:c r="C295" s="27"/>
      <x:c r="D295" s="27"/>
      <x:c r="E295" s="27"/>
      <x:c r="F295" s="27"/>
      <x:c r="G295" s="27"/>
      <x:c r="H295" s="27"/>
      <x:c r="I295" s="27"/>
      <x:c r="J295" s="27"/>
      <x:c r="K295" s="27"/>
      <x:c r="L295" s="27"/>
      <x:c r="M295" s="27"/>
      <x:c r="N295" s="27"/>
      <x:c r="O295" s="27"/>
      <x:c r="P295" s="27"/>
      <x:c r="Q295" s="27"/>
      <x:c r="R295" s="27"/>
      <x:c r="S295" s="27"/>
      <x:c r="T295" s="27"/>
      <x:c r="U295" s="27"/>
      <x:c r="V295" s="27"/>
    </x:row>
    <x:row r="296">
      <x:c r="A296" s="27"/>
      <x:c r="B296" s="27"/>
      <x:c r="C296" s="27"/>
      <x:c r="D296" s="27"/>
      <x:c r="E296" s="27"/>
      <x:c r="F296" s="27"/>
      <x:c r="G296" s="27"/>
      <x:c r="H296" s="27"/>
      <x:c r="I296" s="27"/>
      <x:c r="J296" s="27"/>
      <x:c r="K296" s="27"/>
      <x:c r="L296" s="27"/>
      <x:c r="M296" s="27"/>
      <x:c r="N296" s="27"/>
      <x:c r="O296" s="27"/>
      <x:c r="P296" s="27"/>
      <x:c r="Q296" s="27"/>
      <x:c r="R296" s="27"/>
      <x:c r="S296" s="27"/>
      <x:c r="T296" s="27"/>
      <x:c r="U296" s="27"/>
      <x:c r="V296" s="27"/>
    </x:row>
    <x:row r="297">
      <x:c r="A297" s="27"/>
      <x:c r="B297" s="27"/>
      <x:c r="C297" s="27"/>
      <x:c r="D297" s="27"/>
      <x:c r="E297" s="27"/>
      <x:c r="F297" s="27"/>
      <x:c r="G297" s="27"/>
      <x:c r="H297" s="27"/>
      <x:c r="I297" s="27"/>
      <x:c r="J297" s="27"/>
      <x:c r="K297" s="27"/>
      <x:c r="L297" s="27"/>
      <x:c r="M297" s="27"/>
      <x:c r="N297" s="27"/>
      <x:c r="O297" s="27"/>
      <x:c r="P297" s="27"/>
      <x:c r="Q297" s="27"/>
      <x:c r="R297" s="27"/>
      <x:c r="S297" s="27"/>
      <x:c r="T297" s="27"/>
      <x:c r="U297" s="27"/>
      <x:c r="V297" s="27"/>
    </x:row>
    <x:row r="298">
      <x:c r="A298" s="27"/>
      <x:c r="B298" s="27"/>
      <x:c r="C298" s="27"/>
      <x:c r="D298" s="27"/>
      <x:c r="E298" s="27"/>
      <x:c r="F298" s="27"/>
      <x:c r="G298" s="27"/>
      <x:c r="H298" s="27"/>
      <x:c r="I298" s="27"/>
      <x:c r="J298" s="27"/>
      <x:c r="K298" s="27"/>
      <x:c r="L298" s="27"/>
      <x:c r="M298" s="27"/>
      <x:c r="N298" s="27"/>
      <x:c r="O298" s="27"/>
      <x:c r="P298" s="27"/>
      <x:c r="Q298" s="27"/>
      <x:c r="R298" s="27"/>
      <x:c r="S298" s="27"/>
      <x:c r="T298" s="27"/>
      <x:c r="U298" s="27"/>
      <x:c r="V298" s="27"/>
    </x:row>
    <x:row r="299">
      <x:c r="A299" s="27"/>
      <x:c r="B299" s="27"/>
      <x:c r="C299" s="27"/>
      <x:c r="D299" s="27"/>
      <x:c r="E299" s="27"/>
      <x:c r="F299" s="27"/>
      <x:c r="G299" s="27"/>
      <x:c r="H299" s="27"/>
      <x:c r="I299" s="27"/>
      <x:c r="J299" s="27"/>
      <x:c r="K299" s="27"/>
      <x:c r="L299" s="27"/>
      <x:c r="M299" s="27"/>
      <x:c r="N299" s="27"/>
      <x:c r="O299" s="27"/>
      <x:c r="P299" s="27"/>
      <x:c r="Q299" s="27"/>
      <x:c r="R299" s="27"/>
      <x:c r="S299" s="27"/>
      <x:c r="T299" s="27"/>
      <x:c r="U299" s="27"/>
      <x:c r="V299" s="27"/>
    </x:row>
    <x:row r="300">
      <x:c r="A300" s="27"/>
      <x:c r="B300" s="27"/>
      <x:c r="C300" s="27"/>
      <x:c r="D300" s="27"/>
      <x:c r="E300" s="27"/>
      <x:c r="F300" s="27"/>
      <x:c r="G300" s="27"/>
      <x:c r="H300" s="27"/>
      <x:c r="I300" s="27"/>
      <x:c r="J300" s="27"/>
      <x:c r="K300" s="27"/>
      <x:c r="L300" s="27"/>
      <x:c r="M300" s="27"/>
      <x:c r="N300" s="27"/>
      <x:c r="O300" s="27"/>
      <x:c r="P300" s="27"/>
      <x:c r="Q300" s="27"/>
      <x:c r="R300" s="27"/>
      <x:c r="S300" s="27"/>
      <x:c r="T300" s="27"/>
      <x:c r="U300" s="27"/>
      <x:c r="V300" s="27"/>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30" hidden="0" customWidth="1"/>
    <x:col min="3" max="3" width="56" hidden="0" customWidth="1"/>
    <x:col min="4" max="4" width="78" hidden="0" customWidth="1"/>
    <x:col min="5" max="5" width="66" hidden="0" customWidth="1"/>
    <x:col min="6" max="6" width="16" hidden="0" customWidth="1"/>
  </x:cols>
  <x:sheetData>
    <x:row r="1">
      <x:c r="A1" s="64" t="str">
        <x:v>Sign-Aware Sky Calendar Composer Contract</x:v>
      </x:c>
      <x:c r="B1" s="64"/>
      <x:c r="C1" s="64"/>
      <x:c r="D1" s="64"/>
      <x:c r="E1" s="64"/>
      <x:c r="F1" s="64"/>
    </x:row>
    <x:row r="2">
      <x:c r="A2" s="27" t="str">
        <x:v>Purpose</x:v>
      </x:c>
      <x:c r="B2" s="27" t="str">
        <x:v>Compose the final reader body from planet-pair meaning + exact aspect behavior + both planet-in-sign mechanisms + calculated date/context.</x:v>
      </x:c>
      <x:c r="C2" s="27"/>
      <x:c r="D2" s="27"/>
      <x:c r="E2" s="27"/>
      <x:c r="F2" s="27"/>
    </x:row>
    <x:row r="3">
      <x:c r="A3" s="27"/>
      <x:c r="B3" s="27"/>
      <x:c r="C3" s="27"/>
      <x:c r="D3" s="27"/>
      <x:c r="E3" s="27"/>
      <x:c r="F3" s="27"/>
    </x:row>
    <x:row r="4">
      <x:c r="A4" s="27" t="str">
        <x:v>Order</x:v>
      </x:c>
      <x:c r="B4" s="27" t="str">
        <x:v>Input</x:v>
      </x:c>
      <x:c r="C4" s="27" t="str">
        <x:v>Role</x:v>
      </x:c>
      <x:c r="D4" s="27" t="str">
        <x:v>Required Behavior</x:v>
      </x:c>
      <x:c r="E4" s="27" t="str">
        <x:v>Hard Failure</x:v>
      </x:c>
      <x:c r="F4" s="27" t="str">
        <x:v>Status</x:v>
      </x:c>
    </x:row>
    <x:row r="5">
      <x:c r="A5" s="27" t="n">
        <x:v>1</x:v>
      </x:c>
      <x:c r="B5" s="27" t="str">
        <x:v>Pair Meaning</x:v>
      </x:c>
      <x:c r="C5" s="27" t="str">
        <x:v>What the two bodies mean together before signs.</x:v>
      </x:c>
      <x:c r="D5" s="27" t="str">
        <x:v>Use as the invariant semantic anchor.</x:v>
      </x:c>
      <x:c r="E5" s="27" t="str">
        <x:v>The passage could move to a different pair without becoming wrong.</x:v>
      </x:c>
      <x:c r="F5" s="27" t="str">
        <x:v>LOCKED</x:v>
      </x:c>
    </x:row>
    <x:row r="6">
      <x:c r="A6" s="27" t="n">
        <x:v>2</x:v>
      </x:c>
      <x:c r="B6" s="27" t="str">
        <x:v>Aspect Behavior</x:v>
      </x:c>
      <x:c r="C6" s="27" t="str">
        <x:v>How the two functions interact.</x:v>
      </x:c>
      <x:c r="D6" s="27" t="str">
        <x:v>The aspect must change the consequence.</x:v>
      </x:c>
      <x:c r="E6" s="27" t="str">
        <x:v>The aspect can be swapped without changing the passage.</x:v>
      </x:c>
      <x:c r="F6" s="27" t="str">
        <x:v>LOCKED</x:v>
      </x:c>
    </x:row>
    <x:row r="7">
      <x:c r="A7" s="27" t="n">
        <x:v>3</x:v>
      </x:c>
      <x:c r="B7" s="27" t="str">
        <x:v>Planet A Sign</x:v>
      </x:c>
      <x:c r="C7" s="27" t="str">
        <x:v>How Planet A operates in this event.</x:v>
      </x:c>
      <x:c r="D7" s="27" t="str">
        <x:v>The sign changes verbs, stakes, and plausible situations.</x:v>
      </x:c>
      <x:c r="E7" s="27" t="str">
        <x:v>The sign appears only as a label.</x:v>
      </x:c>
      <x:c r="F7" s="27" t="str">
        <x:v>LOCKED</x:v>
      </x:c>
    </x:row>
    <x:row r="8">
      <x:c r="A8" s="27" t="n">
        <x:v>4</x:v>
      </x:c>
      <x:c r="B8" s="27" t="str">
        <x:v>Planet B Sign</x:v>
      </x:c>
      <x:c r="C8" s="27" t="str">
        <x:v>How Planet B operates in this event.</x:v>
      </x:c>
      <x:c r="D8" s="27" t="str">
        <x:v>The sign changes what the second body protects, demands, expands, restricts, disrupts, obscures, or controls.</x:v>
      </x:c>
      <x:c r="E8" s="27" t="str">
        <x:v>The sign appears only as a label.</x:v>
      </x:c>
      <x:c r="F8" s="27" t="str">
        <x:v>LOCKED</x:v>
      </x:c>
    </x:row>
    <x:row r="9">
      <x:c r="A9" s="27" t="n">
        <x:v>5</x:v>
      </x:c>
      <x:c r="B9" s="27" t="str">
        <x:v>Calculated Date / Context</x:v>
      </x:c>
      <x:c r="C9" s="27" t="str">
        <x:v>Exact time, orb, phase, and relevant motion flags.</x:v>
      </x:c>
      <x:c r="D9" s="27" t="str">
        <x:v>Controls tense, certainty, buildup, peak, or aftermath.</x:v>
      </x:c>
      <x:c r="E9" s="27" t="str">
        <x:v>Fresh-arrival prose on a separating aspect or invented timing.</x:v>
      </x:c>
      <x:c r="F9" s="27" t="str">
        <x:v>LOCKED</x:v>
      </x:c>
    </x:row>
    <x:row r="10">
      <x:c r="A10" s="27"/>
      <x:c r="B10" s="27"/>
      <x:c r="C10" s="27"/>
      <x:c r="D10" s="27"/>
      <x:c r="E10" s="27"/>
      <x:c r="F10" s="27"/>
    </x:row>
    <x:row r="11">
      <x:c r="A11" s="27" t="str">
        <x:v>Reader Architecture</x:v>
      </x:c>
      <x:c r="B11" s="27" t="str">
        <x:v>Sentence 1</x:v>
      </x:c>
      <x:c r="C11" s="27" t="str">
        <x:v>Recognizable situation or sharp thesis.</x:v>
      </x:c>
      <x:c r="D11" s="27" t="str">
        <x:v>The reader should know what matters immediately.</x:v>
      </x:c>
      <x:c r="E11" s="27" t="str">
        <x:v>Generic mood-setting.</x:v>
      </x:c>
      <x:c r="F11" s="27" t="str">
        <x:v>LOCKED</x:v>
      </x:c>
    </x:row>
    <x:row r="12">
      <x:c r="A12" s="27" t="str">
        <x:v>Reader Architecture</x:v>
      </x:c>
      <x:c r="B12" s="27" t="str">
        <x:v>Sentence 2</x:v>
      </x:c>
      <x:c r="C12" s="27" t="str">
        <x:v>Full sign-aware astrology explains why that specific situation is happening.</x:v>
      </x:c>
      <x:c r="D12" s="27" t="str">
        <x:v>Usually name both planets, both signs, and the aspect here.</x:v>
      </x:c>
      <x:c r="E12" s="27" t="str">
        <x:v>Astrology is decorative or merely relabels sentence 1.</x:v>
      </x:c>
      <x:c r="F12" s="27" t="str">
        <x:v>LOCKED</x:v>
      </x:c>
    </x:row>
    <x:row r="13">
      <x:c r="A13" s="27" t="str">
        <x:v>Reader Architecture</x:v>
      </x:c>
      <x:c r="B13" s="27" t="str">
        <x:v>Middle</x:v>
      </x:c>
      <x:c r="C13" s="27" t="str">
        <x:v>Concrete examples, stakes, and consequence.</x:v>
      </x:c>
      <x:c r="D13" s="27" t="str">
        <x:v>Use visible nouns and named consequences.</x:v>
      </x:c>
      <x:c r="E13" s="27" t="str">
        <x:v>Trait list or component summary.</x:v>
      </x:c>
      <x:c r="F13" s="27" t="str">
        <x:v>LOCKED</x:v>
      </x:c>
    </x:row>
    <x:row r="14">
      <x:c r="A14" s="27" t="str">
        <x:v>Reader Architecture</x:v>
      </x:c>
      <x:c r="B14" s="27" t="str">
        <x:v>Close</x:v>
      </x:c>
      <x:c r="C14" s="27" t="str">
        <x:v>One response earned by the exact problem.</x:v>
      </x:c>
      <x:c r="D14" s="27" t="str">
        <x:v>Advice comes from the scene, not from aspect-class boilerplate.</x:v>
      </x:c>
      <x:c r="E14" s="27" t="str">
        <x:v>Mechanical closing by aspect type.</x:v>
      </x:c>
      <x:c r="F14" s="27" t="str">
        <x:v>LOCKED</x:v>
      </x:c>
    </x:row>
    <x:row r="15">
      <x:c r="A15" s="27"/>
      <x:c r="B15" s="27"/>
      <x:c r="C15" s="27"/>
      <x:c r="D15" s="27"/>
      <x:c r="E15" s="27"/>
      <x:c r="F15" s="27"/>
    </x:row>
    <x:row r="16">
      <x:c r="A16" s="27" t="str">
        <x:v>Calendar Grammar</x:v>
      </x:c>
      <x:c r="B16" s="27" t="str">
        <x:v>Person</x:v>
      </x:c>
      <x:c r="C16" s="27" t="str">
        <x:v>Collective / observer register.</x:v>
      </x:c>
      <x:c r="D16" s="27" t="str">
        <x:v>No second-person pronouns in reader copy.</x:v>
      </x:c>
      <x:c r="E16" s="27" t="str">
        <x:v>Any second-person pronoun.</x:v>
      </x:c>
      <x:c r="F16" s="27" t="str">
        <x:v>LOCKED</x:v>
      </x:c>
    </x:row>
    <x:row r="17">
      <x:c r="A17" s="27" t="str">
        <x:v>Calendar Grammar</x:v>
      </x:c>
      <x:c r="B17" s="27" t="str">
        <x:v>Lexical exclusions</x:v>
      </x:c>
      <x:c r="C17" s="27" t="str">
        <x:v>Current mechanical locks.</x:v>
      </x:c>
      <x:c r="D17" s="27" t="str">
        <x:v>Apply the current Calendar exclusion list during final QA.</x:v>
      </x:c>
      <x:c r="E17" s="27" t="str">
        <x:v>Any excluded term in reader copy.</x:v>
      </x:c>
      <x:c r="F17" s="27" t="str">
        <x:v>LOCKED</x:v>
      </x:c>
    </x:row>
    <x:row r="18">
      <x:c r="A18" s="27" t="str">
        <x:v>Calendar Grammar</x:v>
      </x:c>
      <x:c r="B18" s="27" t="str">
        <x:v>Length</x:v>
      </x:c>
      <x:c r="C18" s="27" t="str">
        <x:v>Natural short card.</x:v>
      </x:c>
      <x:c r="D18" s="27" t="str">
        <x:v>Usually 70–105 words; architecture beats count.</x:v>
      </x:c>
      <x:c r="E18" s="27" t="str">
        <x:v>Padding to hit a quota.</x:v>
      </x:c>
      <x:c r="F18" s="27" t="str">
        <x:v>LOCKED</x:v>
      </x:c>
    </x:row>
    <x:row r="19">
      <x:c r="A19" s="27"/>
      <x:c r="B19" s="27"/>
      <x:c r="C19" s="27"/>
      <x:c r="D19" s="27"/>
      <x:c r="E19" s="27"/>
      <x:c r="F19" s="27"/>
    </x:row>
    <x:row r="20">
      <x:c r="A20" s="27" t="str">
        <x:v>Runtime Field</x:v>
      </x:c>
      <x:c r="B20" s="27" t="str">
        <x:v>planetA</x:v>
      </x:c>
      <x:c r="C20" s="27" t="str">
        <x:v>Required calculated body A.</x:v>
      </x:c>
      <x:c r="D20" s="27" t="str">
        <x:v>Example: mars</x:v>
      </x:c>
      <x:c r="E20" s="27" t="str">
        <x:v>Missing body.</x:v>
      </x:c>
      <x:c r="F20" s="27" t="str">
        <x:v>REQUIRED</x:v>
      </x:c>
    </x:row>
    <x:row r="21">
      <x:c r="A21" s="27" t="str">
        <x:v>Runtime Field</x:v>
      </x:c>
      <x:c r="B21" s="27" t="str">
        <x:v>signA</x:v>
      </x:c>
      <x:c r="C21" s="27" t="str">
        <x:v>Required current sign of body A.</x:v>
      </x:c>
      <x:c r="D21" s="27" t="str">
        <x:v>Example: libra</x:v>
      </x:c>
      <x:c r="E21" s="27" t="str">
        <x:v>Missing sign means generic fallback only.</x:v>
      </x:c>
      <x:c r="F21" s="27" t="str">
        <x:v>REQUIRED</x:v>
      </x:c>
    </x:row>
    <x:row r="22">
      <x:c r="A22" s="27" t="str">
        <x:v>Runtime Field</x:v>
      </x:c>
      <x:c r="B22" s="27" t="str">
        <x:v>aspect</x:v>
      </x:c>
      <x:c r="C22" s="27" t="str">
        <x:v>Required exact aspect.</x:v>
      </x:c>
      <x:c r="D22" s="27" t="str">
        <x:v>conjunction / opposition / square / trine / sextile</x:v>
      </x:c>
      <x:c r="E22" s="27" t="str">
        <x:v>Unsupported aspect.</x:v>
      </x:c>
      <x:c r="F22" s="27" t="str">
        <x:v>REQUIRED</x:v>
      </x:c>
    </x:row>
    <x:row r="23">
      <x:c r="A23" s="27" t="str">
        <x:v>Runtime Field</x:v>
      </x:c>
      <x:c r="B23" s="27" t="str">
        <x:v>planetB</x:v>
      </x:c>
      <x:c r="C23" s="27" t="str">
        <x:v>Required calculated body B.</x:v>
      </x:c>
      <x:c r="D23" s="27" t="str">
        <x:v>Example: moon</x:v>
      </x:c>
      <x:c r="E23" s="27" t="str">
        <x:v>Missing body.</x:v>
      </x:c>
      <x:c r="F23" s="27" t="str">
        <x:v>REQUIRED</x:v>
      </x:c>
    </x:row>
    <x:row r="24">
      <x:c r="A24" s="27" t="str">
        <x:v>Runtime Field</x:v>
      </x:c>
      <x:c r="B24" s="27" t="str">
        <x:v>signB</x:v>
      </x:c>
      <x:c r="C24" s="27" t="str">
        <x:v>Required current sign of body B.</x:v>
      </x:c>
      <x:c r="D24" s="27" t="str">
        <x:v>Example: capricorn</x:v>
      </x:c>
      <x:c r="E24" s="27" t="str">
        <x:v>Missing sign means generic fallback only.</x:v>
      </x:c>
      <x:c r="F24" s="27" t="str">
        <x:v>REQUIRED</x:v>
      </x:c>
    </x:row>
    <x:row r="25">
      <x:c r="A25" s="27" t="str">
        <x:v>Runtime Field</x:v>
      </x:c>
      <x:c r="B25" s="27" t="str">
        <x:v>exactDateTimeLocal</x:v>
      </x:c>
      <x:c r="C25" s="27" t="str">
        <x:v>Exact localized timestamp from the calculation.</x:v>
      </x:c>
      <x:c r="D25" s="27" t="str">
        <x:v>Used for header and date-context state.</x:v>
      </x:c>
      <x:c r="E25" s="27" t="str">
        <x:v>Invented date.</x:v>
      </x:c>
      <x:c r="F25" s="27" t="str">
        <x:v>REQUIRED</x:v>
      </x:c>
    </x:row>
    <x:row r="26">
      <x:c r="A26" s="27" t="str">
        <x:v>Runtime Field</x:v>
      </x:c>
      <x:c r="B26" s="27" t="str">
        <x:v>orb</x:v>
      </x:c>
      <x:c r="C26" s="27" t="str">
        <x:v>Current orb from the calculation.</x:v>
      </x:c>
      <x:c r="D26" s="27" t="str">
        <x:v>Controls closeness.</x:v>
      </x:c>
      <x:c r="E26" s="27" t="str">
        <x:v>Invented orb.</x:v>
      </x:c>
      <x:c r="F26" s="27" t="str">
        <x:v>REQUIRED</x:v>
      </x:c>
    </x:row>
    <x:row r="27">
      <x:c r="A27" s="27" t="str">
        <x:v>Runtime Field</x:v>
      </x:c>
      <x:c r="B27" s="27" t="str">
        <x:v>phase</x:v>
      </x:c>
      <x:c r="C27" s="27" t="str">
        <x:v>Applying / exact / separating.</x:v>
      </x:c>
      <x:c r="D27" s="27" t="str">
        <x:v>Controls buildup vs peak vs aftermath.</x:v>
      </x:c>
      <x:c r="E27" s="27" t="str">
        <x:v>Unknown phase treated as exact.</x:v>
      </x:c>
      <x:c r="F27" s="27" t="str">
        <x:v>REQUIRED</x:v>
      </x:c>
    </x:row>
    <x:row r="28">
      <x:c r="A28" s="27" t="str">
        <x:v>Runtime Field</x:v>
      </x:c>
      <x:c r="B28" s="27" t="str">
        <x:v>motionFlags</x:v>
      </x:c>
      <x:c r="C28" s="27" t="str">
        <x:v>Retrograde / station / ingress flags when present.</x:v>
      </x:c>
      <x:c r="D28" s="27" t="str">
        <x:v>Use only if materially relevant.</x:v>
      </x:c>
      <x:c r="E28" s="27" t="str">
        <x:v>Automatic dramatic modifier.</x:v>
      </x:c>
      <x:c r="F28" s="27" t="str">
        <x:v>OPTIONAL</x:v>
      </x:c>
    </x:row>
    <x:row r="29">
      <x:c r="A29" s="27"/>
      <x:c r="B29" s="27"/>
      <x:c r="C29" s="27"/>
      <x:c r="D29" s="27"/>
      <x:c r="E29" s="27"/>
      <x:c r="F29" s="27"/>
    </x:row>
    <x:row r="30">
      <x:c r="A30" s="27" t="str">
        <x:v>Serving Rule</x:v>
      </x:c>
      <x:c r="B30" s="27" t="str">
        <x:v>Signs/date available</x:v>
      </x:c>
      <x:c r="C30" s="27" t="str">
        <x:v>Compose a new integrated sign-aware body.</x:v>
      </x:c>
      <x:c r="D30" s="27" t="str">
        <x:v>Do not serve generic fallback as final.</x:v>
      </x:c>
      <x:c r="E30" s="27" t="str">
        <x:v>Generic fallback shown despite complete inputs.</x:v>
      </x:c>
      <x:c r="F30" s="27" t="str">
        <x:v>LOCKED</x:v>
      </x:c>
    </x:row>
    <x:row r="31">
      <x:c r="A31" s="27" t="str">
        <x:v>Serving Rule</x:v>
      </x:c>
      <x:c r="B31" s="27" t="str">
        <x:v>Signs/date unavailable</x:v>
      </x:c>
      <x:c r="C31" s="27" t="str">
        <x:v>Use the completed 215 generic body.</x:v>
      </x:c>
      <x:c r="D31" s="27" t="str">
        <x:v>Fail closed rather than inventing signs or dates.</x:v>
      </x:c>
      <x:c r="E31" s="27" t="str">
        <x:v>Invented sign or timing.</x:v>
      </x:c>
      <x:c r="F31" s="27" t="str">
        <x:v>LOCKED</x:v>
      </x:c>
    </x:row>
    <x:row r="32">
      <x:c r="A32" s="27"/>
      <x:c r="B32" s="27"/>
      <x:c r="C32" s="27"/>
      <x:c r="D32" s="27"/>
      <x:c r="E32" s="27"/>
      <x:c r="F32" s="27"/>
    </x:row>
    <x:row r="33">
      <x:c r="A33" s="27"/>
      <x:c r="B33" s="27"/>
      <x:c r="C33" s="27"/>
      <x:c r="D33" s="27"/>
      <x:c r="E33" s="27"/>
      <x:c r="F33" s="27"/>
    </x:row>
    <x:row r="34">
      <x:c r="A34" s="27"/>
      <x:c r="B34" s="27"/>
      <x:c r="C34" s="27"/>
      <x:c r="D34" s="27"/>
      <x:c r="E34" s="27"/>
      <x:c r="F34" s="27"/>
    </x:row>
    <x:row r="35">
      <x:c r="A35" s="27"/>
      <x:c r="B35" s="27"/>
      <x:c r="C35" s="27"/>
      <x:c r="D35" s="27"/>
      <x:c r="E35" s="27"/>
      <x:c r="F35" s="27"/>
    </x:row>
    <x:row r="36">
      <x:c r="A36" s="27"/>
      <x:c r="B36" s="27"/>
      <x:c r="C36" s="27"/>
      <x:c r="D36" s="27"/>
      <x:c r="E36" s="27"/>
      <x:c r="F36" s="27"/>
    </x:row>
    <x:row r="37">
      <x:c r="A37" s="27"/>
      <x:c r="B37" s="27"/>
      <x:c r="C37" s="27"/>
      <x:c r="D37" s="27"/>
      <x:c r="E37" s="27"/>
      <x:c r="F37" s="27"/>
    </x:row>
    <x:row r="38">
      <x:c r="A38" s="27"/>
      <x:c r="B38" s="27"/>
      <x:c r="C38" s="27"/>
      <x:c r="D38" s="27"/>
      <x:c r="E38" s="27"/>
      <x:c r="F38" s="27"/>
    </x:row>
    <x:row r="39">
      <x:c r="A39" s="27"/>
      <x:c r="B39" s="27"/>
      <x:c r="C39" s="27"/>
      <x:c r="D39" s="27"/>
      <x:c r="E39" s="27"/>
      <x:c r="F39" s="27"/>
    </x:row>
    <x:row r="40">
      <x:c r="A40" s="27"/>
      <x:c r="B40" s="27"/>
      <x:c r="C40" s="27"/>
      <x:c r="D40" s="27"/>
      <x:c r="E40" s="27"/>
      <x:c r="F40" s="27"/>
    </x:row>
    <x:row r="41">
      <x:c r="A41" s="27"/>
      <x:c r="B41" s="27"/>
      <x:c r="C41" s="27"/>
      <x:c r="D41" s="27"/>
      <x:c r="E41" s="27"/>
      <x:c r="F41" s="27"/>
    </x:row>
    <x:row r="42">
      <x:c r="A42" s="27"/>
      <x:c r="B42" s="27"/>
      <x:c r="C42" s="27"/>
      <x:c r="D42" s="27"/>
      <x:c r="E42" s="27"/>
      <x:c r="F42" s="27"/>
    </x:row>
    <x:row r="43">
      <x:c r="A43" s="27"/>
      <x:c r="B43" s="27"/>
      <x:c r="C43" s="27"/>
      <x:c r="D43" s="27"/>
      <x:c r="E43" s="27"/>
      <x:c r="F43" s="27"/>
    </x:row>
    <x:row r="44">
      <x:c r="A44" s="27"/>
      <x:c r="B44" s="27"/>
      <x:c r="C44" s="27"/>
      <x:c r="D44" s="27"/>
      <x:c r="E44" s="27"/>
      <x:c r="F44" s="27"/>
    </x:row>
    <x:row r="45">
      <x:c r="A45" s="27"/>
      <x:c r="B45" s="27"/>
      <x:c r="C45" s="27"/>
      <x:c r="D45" s="27"/>
      <x:c r="E45" s="27"/>
      <x:c r="F45" s="27"/>
    </x:row>
    <x:row r="46">
      <x:c r="A46" s="27"/>
      <x:c r="B46" s="27"/>
      <x:c r="C46" s="27"/>
      <x:c r="D46" s="27"/>
      <x:c r="E46" s="27"/>
      <x:c r="F46" s="27"/>
    </x:row>
    <x:row r="47">
      <x:c r="A47" s="27"/>
      <x:c r="B47" s="27"/>
      <x:c r="C47" s="27"/>
      <x:c r="D47" s="27"/>
      <x:c r="E47" s="27"/>
      <x:c r="F47" s="27"/>
    </x:row>
    <x:row r="48">
      <x:c r="A48" s="27"/>
      <x:c r="B48" s="27"/>
      <x:c r="C48" s="27"/>
      <x:c r="D48" s="27"/>
      <x:c r="E48" s="27"/>
      <x:c r="F48" s="27"/>
    </x:row>
    <x:row r="49">
      <x:c r="A49" s="27"/>
      <x:c r="B49" s="27"/>
      <x:c r="C49" s="27"/>
      <x:c r="D49" s="27"/>
      <x:c r="E49" s="27"/>
      <x:c r="F49" s="27"/>
    </x:row>
    <x:row r="50">
      <x:c r="A50" s="27"/>
      <x:c r="B50" s="27"/>
      <x:c r="C50" s="27"/>
      <x:c r="D50" s="27"/>
      <x:c r="E50" s="27"/>
      <x:c r="F50" s="27"/>
    </x:row>
    <x:row r="51">
      <x:c r="A51" s="27"/>
      <x:c r="B51" s="27"/>
      <x:c r="C51" s="27"/>
      <x:c r="D51" s="27"/>
      <x:c r="E51" s="27"/>
      <x:c r="F51" s="27"/>
    </x:row>
    <x:row r="52">
      <x:c r="A52" s="27"/>
      <x:c r="B52" s="27"/>
      <x:c r="C52" s="27"/>
      <x:c r="D52" s="27"/>
      <x:c r="E52" s="27"/>
      <x:c r="F52" s="27"/>
    </x:row>
    <x:row r="53">
      <x:c r="A53" s="27"/>
      <x:c r="B53" s="27"/>
      <x:c r="C53" s="27"/>
      <x:c r="D53" s="27"/>
      <x:c r="E53" s="27"/>
      <x:c r="F53" s="27"/>
    </x:row>
    <x:row r="54">
      <x:c r="A54" s="27"/>
      <x:c r="B54" s="27"/>
      <x:c r="C54" s="27"/>
      <x:c r="D54" s="27"/>
      <x:c r="E54" s="27"/>
      <x:c r="F54" s="27"/>
    </x:row>
    <x:row r="55">
      <x:c r="A55" s="27"/>
      <x:c r="B55" s="27"/>
      <x:c r="C55" s="27"/>
      <x:c r="D55" s="27"/>
      <x:c r="E55" s="27"/>
      <x:c r="F55" s="27"/>
    </x:row>
    <x:row r="56">
      <x:c r="A56" s="27"/>
      <x:c r="B56" s="27"/>
      <x:c r="C56" s="27"/>
      <x:c r="D56" s="27"/>
      <x:c r="E56" s="27"/>
      <x:c r="F56" s="27"/>
    </x:row>
    <x:row r="57">
      <x:c r="A57" s="27"/>
      <x:c r="B57" s="27"/>
      <x:c r="C57" s="27"/>
      <x:c r="D57" s="27"/>
      <x:c r="E57" s="27"/>
      <x:c r="F57" s="27"/>
    </x:row>
    <x:row r="58">
      <x:c r="A58" s="27"/>
      <x:c r="B58" s="27"/>
      <x:c r="C58" s="27"/>
      <x:c r="D58" s="27"/>
      <x:c r="E58" s="27"/>
      <x:c r="F58" s="27"/>
    </x:row>
    <x:row r="59">
      <x:c r="A59" s="27"/>
      <x:c r="B59" s="27"/>
      <x:c r="C59" s="27"/>
      <x:c r="D59" s="27"/>
      <x:c r="E59" s="27"/>
      <x:c r="F59" s="27"/>
    </x:row>
    <x:row r="60">
      <x:c r="A60" s="27"/>
      <x:c r="B60" s="27"/>
      <x:c r="C60" s="27"/>
      <x:c r="D60" s="27"/>
      <x:c r="E60" s="27"/>
      <x:c r="F60" s="27"/>
    </x:row>
    <x:row r="61">
      <x:c r="A61" s="27"/>
      <x:c r="B61" s="27"/>
      <x:c r="C61" s="27"/>
      <x:c r="D61" s="27"/>
      <x:c r="E61" s="27"/>
      <x:c r="F61" s="27"/>
    </x:row>
    <x:row r="62">
      <x:c r="A62" s="27"/>
      <x:c r="B62" s="27"/>
      <x:c r="C62" s="27"/>
      <x:c r="D62" s="27"/>
      <x:c r="E62" s="27"/>
      <x:c r="F62" s="27"/>
    </x:row>
    <x:row r="63">
      <x:c r="A63" s="27"/>
      <x:c r="B63" s="27"/>
      <x:c r="C63" s="27"/>
      <x:c r="D63" s="27"/>
      <x:c r="E63" s="27"/>
      <x:c r="F63" s="27"/>
    </x:row>
    <x:row r="64">
      <x:c r="A64" s="27"/>
      <x:c r="B64" s="27"/>
      <x:c r="C64" s="27"/>
      <x:c r="D64" s="27"/>
      <x:c r="E64" s="27"/>
      <x:c r="F64" s="27"/>
    </x:row>
    <x:row r="65">
      <x:c r="A65" s="27"/>
      <x:c r="B65" s="27"/>
      <x:c r="C65" s="27"/>
      <x:c r="D65" s="27"/>
      <x:c r="E65" s="27"/>
      <x:c r="F65" s="27"/>
    </x:row>
    <x:row r="66">
      <x:c r="A66" s="27"/>
      <x:c r="B66" s="27"/>
      <x:c r="C66" s="27"/>
      <x:c r="D66" s="27"/>
      <x:c r="E66" s="27"/>
      <x:c r="F66" s="27"/>
    </x:row>
    <x:row r="67">
      <x:c r="A67" s="27"/>
      <x:c r="B67" s="27"/>
      <x:c r="C67" s="27"/>
      <x:c r="D67" s="27"/>
      <x:c r="E67" s="27"/>
      <x:c r="F67" s="27"/>
    </x:row>
    <x:row r="68">
      <x:c r="A68" s="27"/>
      <x:c r="B68" s="27"/>
      <x:c r="C68" s="27"/>
      <x:c r="D68" s="27"/>
      <x:c r="E68" s="27"/>
      <x:c r="F68" s="27"/>
    </x:row>
    <x:row r="69">
      <x:c r="A69" s="27"/>
      <x:c r="B69" s="27"/>
      <x:c r="C69" s="27"/>
      <x:c r="D69" s="27"/>
      <x:c r="E69" s="27"/>
      <x:c r="F69" s="27"/>
    </x:row>
    <x:row r="70">
      <x:c r="A70" s="27"/>
      <x:c r="B70" s="27"/>
      <x:c r="C70" s="27"/>
      <x:c r="D70" s="27"/>
      <x:c r="E70" s="27"/>
      <x:c r="F70" s="27"/>
    </x:row>
    <x:row r="71">
      <x:c r="A71" s="27"/>
      <x:c r="B71" s="27"/>
      <x:c r="C71" s="27"/>
      <x:c r="D71" s="27"/>
      <x:c r="E71" s="27"/>
      <x:c r="F71" s="27"/>
    </x:row>
    <x:row r="72">
      <x:c r="A72" s="27"/>
      <x:c r="B72" s="27"/>
      <x:c r="C72" s="27"/>
      <x:c r="D72" s="27"/>
      <x:c r="E72" s="27"/>
      <x:c r="F72" s="27"/>
    </x:row>
    <x:row r="73">
      <x:c r="A73" s="27"/>
      <x:c r="B73" s="27"/>
      <x:c r="C73" s="27"/>
      <x:c r="D73" s="27"/>
      <x:c r="E73" s="27"/>
      <x:c r="F73" s="27"/>
    </x:row>
    <x:row r="74">
      <x:c r="A74" s="27"/>
      <x:c r="B74" s="27"/>
      <x:c r="C74" s="27"/>
      <x:c r="D74" s="27"/>
      <x:c r="E74" s="27"/>
      <x:c r="F74" s="27"/>
    </x:row>
    <x:row r="75">
      <x:c r="A75" s="27"/>
      <x:c r="B75" s="27"/>
      <x:c r="C75" s="27"/>
      <x:c r="D75" s="27"/>
      <x:c r="E75" s="27"/>
      <x:c r="F75" s="27"/>
    </x:row>
    <x:row r="76">
      <x:c r="A76" s="27"/>
      <x:c r="B76" s="27"/>
      <x:c r="C76" s="27"/>
      <x:c r="D76" s="27"/>
      <x:c r="E76" s="27"/>
      <x:c r="F76" s="27"/>
    </x:row>
    <x:row r="77">
      <x:c r="A77" s="27"/>
      <x:c r="B77" s="27"/>
      <x:c r="C77" s="27"/>
      <x:c r="D77" s="27"/>
      <x:c r="E77" s="27"/>
      <x:c r="F77" s="27"/>
    </x:row>
    <x:row r="78">
      <x:c r="A78" s="27"/>
      <x:c r="B78" s="27"/>
      <x:c r="C78" s="27"/>
      <x:c r="D78" s="27"/>
      <x:c r="E78" s="27"/>
      <x:c r="F78" s="27"/>
    </x:row>
    <x:row r="79">
      <x:c r="A79" s="27"/>
      <x:c r="B79" s="27"/>
      <x:c r="C79" s="27"/>
      <x:c r="D79" s="27"/>
      <x:c r="E79" s="27"/>
      <x:c r="F79" s="27"/>
    </x:row>
    <x:row r="80">
      <x:c r="A80" s="27"/>
      <x:c r="B80" s="27"/>
      <x:c r="C80" s="27"/>
      <x:c r="D80" s="27"/>
      <x:c r="E80" s="27"/>
      <x:c r="F80" s="27"/>
    </x:row>
    <x:row r="81">
      <x:c r="A81" s="27"/>
      <x:c r="B81" s="27"/>
      <x:c r="C81" s="27"/>
      <x:c r="D81" s="27"/>
      <x:c r="E81" s="27"/>
      <x:c r="F81" s="27"/>
    </x:row>
    <x:row r="82">
      <x:c r="A82" s="27"/>
      <x:c r="B82" s="27"/>
      <x:c r="C82" s="27"/>
      <x:c r="D82" s="27"/>
      <x:c r="E82" s="27"/>
      <x:c r="F82" s="27"/>
    </x:row>
    <x:row r="83">
      <x:c r="A83" s="27"/>
      <x:c r="B83" s="27"/>
      <x:c r="C83" s="27"/>
      <x:c r="D83" s="27"/>
      <x:c r="E83" s="27"/>
      <x:c r="F83" s="27"/>
    </x:row>
    <x:row r="84">
      <x:c r="A84" s="27"/>
      <x:c r="B84" s="27"/>
      <x:c r="C84" s="27"/>
      <x:c r="D84" s="27"/>
      <x:c r="E84" s="27"/>
      <x:c r="F84" s="27"/>
    </x:row>
    <x:row r="85">
      <x:c r="A85" s="27"/>
      <x:c r="B85" s="27"/>
      <x:c r="C85" s="27"/>
      <x:c r="D85" s="27"/>
      <x:c r="E85" s="27"/>
      <x:c r="F85" s="27"/>
    </x:row>
    <x:row r="86">
      <x:c r="A86" s="27"/>
      <x:c r="B86" s="27"/>
      <x:c r="C86" s="27"/>
      <x:c r="D86" s="27"/>
      <x:c r="E86" s="27"/>
      <x:c r="F86" s="27"/>
    </x:row>
    <x:row r="87">
      <x:c r="A87" s="27"/>
      <x:c r="B87" s="27"/>
      <x:c r="C87" s="27"/>
      <x:c r="D87" s="27"/>
      <x:c r="E87" s="27"/>
      <x:c r="F87" s="27"/>
    </x:row>
    <x:row r="88">
      <x:c r="A88" s="27"/>
      <x:c r="B88" s="27"/>
      <x:c r="C88" s="27"/>
      <x:c r="D88" s="27"/>
      <x:c r="E88" s="27"/>
      <x:c r="F88" s="27"/>
    </x:row>
    <x:row r="89">
      <x:c r="A89" s="27"/>
      <x:c r="B89" s="27"/>
      <x:c r="C89" s="27"/>
      <x:c r="D89" s="27"/>
      <x:c r="E89" s="27"/>
      <x:c r="F89" s="27"/>
    </x:row>
    <x:row r="90">
      <x:c r="A90" s="27"/>
      <x:c r="B90" s="27"/>
      <x:c r="C90" s="27"/>
      <x:c r="D90" s="27"/>
      <x:c r="E90" s="27"/>
      <x:c r="F90" s="27"/>
    </x:row>
    <x:row r="91">
      <x:c r="A91" s="27"/>
      <x:c r="B91" s="27"/>
      <x:c r="C91" s="27"/>
      <x:c r="D91" s="27"/>
      <x:c r="E91" s="27"/>
      <x:c r="F91" s="27"/>
    </x:row>
    <x:row r="92">
      <x:c r="A92" s="27"/>
      <x:c r="B92" s="27"/>
      <x:c r="C92" s="27"/>
      <x:c r="D92" s="27"/>
      <x:c r="E92" s="27"/>
      <x:c r="F92" s="27"/>
    </x:row>
    <x:row r="93">
      <x:c r="A93" s="27"/>
      <x:c r="B93" s="27"/>
      <x:c r="C93" s="27"/>
      <x:c r="D93" s="27"/>
      <x:c r="E93" s="27"/>
      <x:c r="F93" s="27"/>
    </x:row>
    <x:row r="94">
      <x:c r="A94" s="27"/>
      <x:c r="B94" s="27"/>
      <x:c r="C94" s="27"/>
      <x:c r="D94" s="27"/>
      <x:c r="E94" s="27"/>
      <x:c r="F94" s="27"/>
    </x:row>
    <x:row r="95">
      <x:c r="A95" s="27"/>
      <x:c r="B95" s="27"/>
      <x:c r="C95" s="27"/>
      <x:c r="D95" s="27"/>
      <x:c r="E95" s="27"/>
      <x:c r="F95" s="27"/>
    </x:row>
    <x:row r="96">
      <x:c r="A96" s="27"/>
      <x:c r="B96" s="27"/>
      <x:c r="C96" s="27"/>
      <x:c r="D96" s="27"/>
      <x:c r="E96" s="27"/>
      <x:c r="F96" s="27"/>
    </x:row>
    <x:row r="97">
      <x:c r="A97" s="27"/>
      <x:c r="B97" s="27"/>
      <x:c r="C97" s="27"/>
      <x:c r="D97" s="27"/>
      <x:c r="E97" s="27"/>
      <x:c r="F97" s="27"/>
    </x:row>
    <x:row r="98">
      <x:c r="A98" s="27"/>
      <x:c r="B98" s="27"/>
      <x:c r="C98" s="27"/>
      <x:c r="D98" s="27"/>
      <x:c r="E98" s="27"/>
      <x:c r="F98" s="27"/>
    </x:row>
    <x:row r="99">
      <x:c r="A99" s="27"/>
      <x:c r="B99" s="27"/>
      <x:c r="C99" s="27"/>
      <x:c r="D99" s="27"/>
      <x:c r="E99" s="27"/>
      <x:c r="F99" s="27"/>
    </x:row>
    <x:row r="100">
      <x:c r="A100" s="27"/>
      <x:c r="B100" s="27"/>
      <x:c r="C100" s="27"/>
      <x:c r="D100" s="27"/>
      <x:c r="E100" s="27"/>
      <x:c r="F100" s="27"/>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0" hidden="0" customWidth="1"/>
    <x:col min="2" max="2" width="14" hidden="0" customWidth="1"/>
    <x:col min="3" max="3" width="14" hidden="0" customWidth="1"/>
    <x:col min="4" max="4" width="16" hidden="0" customWidth="1"/>
    <x:col min="5" max="5" width="24" hidden="0" customWidth="1"/>
    <x:col min="6" max="6" width="112" hidden="0" customWidth="1"/>
  </x:cols>
  <x:sheetData>
    <x:row r="1">
      <x:c r="A1" s="64" t="str">
        <x:v>Title</x:v>
      </x:c>
      <x:c r="B1" s="64" t="str">
        <x:v>Planet A</x:v>
      </x:c>
      <x:c r="C1" s="64" t="str">
        <x:v>Sign A</x:v>
      </x:c>
      <x:c r="D1" s="64" t="str">
        <x:v>Aspect</x:v>
      </x:c>
      <x:c r="E1" s="64" t="str">
        <x:v>Planet B / Sign B</x:v>
      </x:c>
      <x:c r="F1" s="64" t="str">
        <x:v>Exact Owner Benchmark</x:v>
      </x:c>
    </x:row>
    <x:row r="2">
      <x:c r="A2" s="27" t="str">
        <x:v>Mars in Libra square Moon in Capricorn</x:v>
      </x:c>
      <x:c r="B2" s="27" t="str">
        <x:v>Mars</x:v>
      </x:c>
      <x:c r="C2" s="27" t="str">
        <x:v>Libra</x:v>
      </x:c>
      <x:c r="D2" s="27" t="str">
        <x:v>square</x:v>
      </x:c>
      <x:c r="E2" s="27" t="str">
        <x:v>Moon / Capricorn</x:v>
      </x:c>
      <x:c r="F2" s="27" t="str">
        <x:v>A project may stall once everyone realizes the workload is not being split fairly. The square between Mars in Libra and the Moon in Capricorn can turn a quiet imbalance of effort into an open confrontation about responsibility. One person may end up taking on the extra revisions, staying late, or finishing tasks no one explicitly claimed. The issue is no longer just meeting the deadline; it is about who keeps absorbing the extra hours while everyone else debates what looks balanced. Name what each person is actually responsible for before taking on another task.</x:v>
      </x:c>
    </x:row>
    <x:row r="3">
      <x:c r="A3" s="27" t="str">
        <x:v>Uranus in Taurus opposite Mars in Scorpio</x:v>
      </x:c>
      <x:c r="B3" s="27" t="str">
        <x:v>Uranus</x:v>
      </x:c>
      <x:c r="C3" s="27" t="str">
        <x:v>Taurus</x:v>
      </x:c>
      <x:c r="D3" s="27" t="str">
        <x:v>opposition</x:v>
      </x:c>
      <x:c r="E3" s="27" t="str">
        <x:v>Mars / Scorpio</x:v>
      </x:c>
      <x:c r="F3" s="27" t="str">
        <x:v>A price changes, an account gets locked, or a shared resource suddenly becomes unavailable without warning. The opposition between Uranus in Taurus and Mars in Scorpio can turn an unexpected disruption into a dispute over leverage and control. The person who needs the fix right now may not have the budget, password, or authority required to make it happen. Before rushing into a makeshift workaround that creates new liabilities, verify who holds the actual decision-making power and address the access problem directly.</x:v>
      </x:c>
    </x:row>
    <x:row r="4">
      <x:c r="A4" s="27" t="str">
        <x:v>Pluto in Aquarius sextile Mercury in Aries</x:v>
      </x:c>
      <x:c r="B4" s="27" t="str">
        <x:v>Pluto</x:v>
      </x:c>
      <x:c r="C4" s="27" t="str">
        <x:v>Aquarius</x:v>
      </x:c>
      <x:c r="D4" s="27" t="str">
        <x:v>sextile</x:v>
      </x:c>
      <x:c r="E4" s="27" t="str">
        <x:v>Mercury / Aries</x:v>
      </x:c>
      <x:c r="F4" s="27" t="str">
        <x:v>A policy or quiet exception that benefits only a few people may finally get challenged out loud. The sextile between Pluto in Aquarius and Mercury in Aries can cut through months of vague complaints with a direct, specific question. Someone points out the exact sentence in the guidelines that creates the bottleneck, giving the entire group a clear target. Use the momentum to propose one concrete rule change instead of debating the entire organization at once.</x:v>
      </x:c>
    </x:row>
    <x:row r="5">
      <x:c r="A5" s="27"/>
      <x:c r="B5" s="27"/>
      <x:c r="C5" s="27"/>
      <x:c r="D5" s="27"/>
      <x:c r="E5" s="27"/>
      <x:c r="F5" s="27"/>
    </x:row>
    <x:row r="6">
      <x:c r="A6" s="27"/>
      <x:c r="B6" s="27"/>
      <x:c r="C6" s="27"/>
      <x:c r="D6" s="27"/>
      <x:c r="E6" s="27"/>
      <x:c r="F6" s="27"/>
    </x:row>
    <x:row r="7">
      <x:c r="A7" s="27"/>
      <x:c r="B7" s="27"/>
      <x:c r="C7" s="27"/>
      <x:c r="D7" s="27"/>
      <x:c r="E7" s="27"/>
      <x:c r="F7" s="27"/>
    </x:row>
    <x:row r="8">
      <x:c r="A8" s="27"/>
      <x:c r="B8" s="27"/>
      <x:c r="C8" s="27"/>
      <x:c r="D8" s="27"/>
      <x:c r="E8" s="27"/>
      <x:c r="F8" s="27"/>
    </x:row>
    <x:row r="9">
      <x:c r="A9" s="27"/>
      <x:c r="B9" s="27"/>
      <x:c r="C9" s="27"/>
      <x:c r="D9" s="27"/>
      <x:c r="E9" s="27"/>
      <x:c r="F9" s="27"/>
    </x:row>
    <x:row r="10">
      <x:c r="A10" s="27"/>
      <x:c r="B10" s="27"/>
      <x:c r="C10" s="27"/>
      <x:c r="D10" s="27"/>
      <x:c r="E10" s="27"/>
      <x:c r="F10" s="27"/>
    </x:row>
    <x:row r="11">
      <x:c r="A11" s="27"/>
      <x:c r="B11" s="27"/>
      <x:c r="C11" s="27"/>
      <x:c r="D11" s="27"/>
      <x:c r="E11" s="27"/>
      <x:c r="F11" s="27"/>
    </x:row>
    <x:row r="12">
      <x:c r="A12" s="27"/>
      <x:c r="B12" s="27"/>
      <x:c r="C12" s="27"/>
      <x:c r="D12" s="27"/>
      <x:c r="E12" s="27"/>
      <x:c r="F12" s="27"/>
    </x:row>
    <x:row r="13">
      <x:c r="A13" s="27"/>
      <x:c r="B13" s="27"/>
      <x:c r="C13" s="27"/>
      <x:c r="D13" s="27"/>
      <x:c r="E13" s="27"/>
      <x:c r="F13" s="27"/>
    </x:row>
    <x:row r="14">
      <x:c r="A14" s="27"/>
      <x:c r="B14" s="27"/>
      <x:c r="C14" s="27"/>
      <x:c r="D14" s="27"/>
      <x:c r="E14" s="27"/>
      <x:c r="F14" s="27"/>
    </x:row>
    <x:row r="15">
      <x:c r="A15" s="27"/>
      <x:c r="B15" s="27"/>
      <x:c r="C15" s="27"/>
      <x:c r="D15" s="27"/>
      <x:c r="E15" s="27"/>
      <x:c r="F15" s="27"/>
    </x:row>
    <x:row r="16">
      <x:c r="A16" s="27"/>
      <x:c r="B16" s="27"/>
      <x:c r="C16" s="27"/>
      <x:c r="D16" s="27"/>
      <x:c r="E16" s="27"/>
      <x:c r="F16" s="27"/>
    </x:row>
    <x:row r="17">
      <x:c r="A17" s="27"/>
      <x:c r="B17" s="27"/>
      <x:c r="C17" s="27"/>
      <x:c r="D17" s="27"/>
      <x:c r="E17" s="27"/>
      <x:c r="F17" s="27"/>
    </x:row>
    <x:row r="18">
      <x:c r="A18" s="27"/>
      <x:c r="B18" s="27"/>
      <x:c r="C18" s="27"/>
      <x:c r="D18" s="27"/>
      <x:c r="E18" s="27"/>
      <x:c r="F18" s="27"/>
    </x:row>
    <x:row r="19">
      <x:c r="A19" s="27"/>
      <x:c r="B19" s="27"/>
      <x:c r="C19" s="27"/>
      <x:c r="D19" s="27"/>
      <x:c r="E19" s="27"/>
      <x:c r="F19" s="27"/>
    </x:row>
    <x:row r="20">
      <x:c r="A20" s="27"/>
      <x:c r="B20" s="27"/>
      <x:c r="C20" s="27"/>
      <x:c r="D20" s="27"/>
      <x:c r="E20" s="27"/>
      <x:c r="F20" s="27"/>
    </x:row>
    <x:row r="21">
      <x:c r="A21" s="27"/>
      <x:c r="B21" s="27"/>
      <x:c r="C21" s="27"/>
      <x:c r="D21" s="27"/>
      <x:c r="E21" s="27"/>
      <x:c r="F21" s="27"/>
    </x:row>
    <x:row r="22">
      <x:c r="A22" s="27"/>
      <x:c r="B22" s="27"/>
      <x:c r="C22" s="27"/>
      <x:c r="D22" s="27"/>
      <x:c r="E22" s="27"/>
      <x:c r="F22" s="27"/>
    </x:row>
    <x:row r="23">
      <x:c r="A23" s="27"/>
      <x:c r="B23" s="27"/>
      <x:c r="C23" s="27"/>
      <x:c r="D23" s="27"/>
      <x:c r="E23" s="27"/>
      <x:c r="F23" s="27"/>
    </x:row>
    <x:row r="24">
      <x:c r="A24" s="27"/>
      <x:c r="B24" s="27"/>
      <x:c r="C24" s="27"/>
      <x:c r="D24" s="27"/>
      <x:c r="E24" s="27"/>
      <x:c r="F24" s="27"/>
    </x:row>
    <x:row r="25">
      <x:c r="A25" s="27"/>
      <x:c r="B25" s="27"/>
      <x:c r="C25" s="27"/>
      <x:c r="D25" s="27"/>
      <x:c r="E25" s="27"/>
      <x:c r="F25" s="27"/>
    </x:row>
    <x:row r="26">
      <x:c r="A26" s="27"/>
      <x:c r="B26" s="27"/>
      <x:c r="C26" s="27"/>
      <x:c r="D26" s="27"/>
      <x:c r="E26" s="27"/>
      <x:c r="F26" s="27"/>
    </x:row>
    <x:row r="27">
      <x:c r="A27" s="27"/>
      <x:c r="B27" s="27"/>
      <x:c r="C27" s="27"/>
      <x:c r="D27" s="27"/>
      <x:c r="E27" s="27"/>
      <x:c r="F27" s="27"/>
    </x:row>
    <x:row r="28">
      <x:c r="A28" s="27"/>
      <x:c r="B28" s="27"/>
      <x:c r="C28" s="27"/>
      <x:c r="D28" s="27"/>
      <x:c r="E28" s="27"/>
      <x:c r="F28" s="27"/>
    </x:row>
    <x:row r="29">
      <x:c r="A29" s="27"/>
      <x:c r="B29" s="27"/>
      <x:c r="C29" s="27"/>
      <x:c r="D29" s="27"/>
      <x:c r="E29" s="27"/>
      <x:c r="F29" s="27"/>
    </x:row>
    <x:row r="30">
      <x:c r="A30" s="27"/>
      <x:c r="B30" s="27"/>
      <x:c r="C30" s="27"/>
      <x:c r="D30" s="27"/>
      <x:c r="E30" s="27"/>
      <x:c r="F30" s="27"/>
    </x:row>
    <x:row r="31">
      <x:c r="A31" s="27"/>
      <x:c r="B31" s="27"/>
      <x:c r="C31" s="27"/>
      <x:c r="D31" s="27"/>
      <x:c r="E31" s="27"/>
      <x:c r="F31" s="27"/>
    </x:row>
    <x:row r="32">
      <x:c r="A32" s="27"/>
      <x:c r="B32" s="27"/>
      <x:c r="C32" s="27"/>
      <x:c r="D32" s="27"/>
      <x:c r="E32" s="27"/>
      <x:c r="F32" s="27"/>
    </x:row>
    <x:row r="33">
      <x:c r="A33" s="27"/>
      <x:c r="B33" s="27"/>
      <x:c r="C33" s="27"/>
      <x:c r="D33" s="27"/>
      <x:c r="E33" s="27"/>
      <x:c r="F33" s="27"/>
    </x:row>
    <x:row r="34">
      <x:c r="A34" s="27"/>
      <x:c r="B34" s="27"/>
      <x:c r="C34" s="27"/>
      <x:c r="D34" s="27"/>
      <x:c r="E34" s="27"/>
      <x:c r="F34" s="27"/>
    </x:row>
    <x:row r="35">
      <x:c r="A35" s="27"/>
      <x:c r="B35" s="27"/>
      <x:c r="C35" s="27"/>
      <x:c r="D35" s="27"/>
      <x:c r="E35" s="27"/>
      <x:c r="F35" s="27"/>
    </x:row>
    <x:row r="36">
      <x:c r="A36" s="27"/>
      <x:c r="B36" s="27"/>
      <x:c r="C36" s="27"/>
      <x:c r="D36" s="27"/>
      <x:c r="E36" s="27"/>
      <x:c r="F36" s="27"/>
    </x:row>
    <x:row r="37">
      <x:c r="A37" s="27"/>
      <x:c r="B37" s="27"/>
      <x:c r="C37" s="27"/>
      <x:c r="D37" s="27"/>
      <x:c r="E37" s="27"/>
      <x:c r="F37" s="27"/>
    </x:row>
    <x:row r="38">
      <x:c r="A38" s="27"/>
      <x:c r="B38" s="27"/>
      <x:c r="C38" s="27"/>
      <x:c r="D38" s="27"/>
      <x:c r="E38" s="27"/>
      <x:c r="F38" s="27"/>
    </x:row>
    <x:row r="39">
      <x:c r="A39" s="27"/>
      <x:c r="B39" s="27"/>
      <x:c r="C39" s="27"/>
      <x:c r="D39" s="27"/>
      <x:c r="E39" s="27"/>
      <x:c r="F39" s="27"/>
    </x:row>
    <x:row r="40">
      <x:c r="A40" s="27"/>
      <x:c r="B40" s="27"/>
      <x:c r="C40" s="27"/>
      <x:c r="D40" s="27"/>
      <x:c r="E40" s="27"/>
      <x:c r="F40" s="27"/>
    </x:row>
    <x:row r="41">
      <x:c r="A41" s="27"/>
      <x:c r="B41" s="27"/>
      <x:c r="C41" s="27"/>
      <x:c r="D41" s="27"/>
      <x:c r="E41" s="27"/>
      <x:c r="F41" s="27"/>
    </x:row>
    <x:row r="42">
      <x:c r="A42" s="27"/>
      <x:c r="B42" s="27"/>
      <x:c r="C42" s="27"/>
      <x:c r="D42" s="27"/>
      <x:c r="E42" s="27"/>
      <x:c r="F42" s="27"/>
    </x:row>
    <x:row r="43">
      <x:c r="A43" s="27"/>
      <x:c r="B43" s="27"/>
      <x:c r="C43" s="27"/>
      <x:c r="D43" s="27"/>
      <x:c r="E43" s="27"/>
      <x:c r="F43" s="27"/>
    </x:row>
    <x:row r="44">
      <x:c r="A44" s="27"/>
      <x:c r="B44" s="27"/>
      <x:c r="C44" s="27"/>
      <x:c r="D44" s="27"/>
      <x:c r="E44" s="27"/>
      <x:c r="F44" s="27"/>
    </x:row>
    <x:row r="45">
      <x:c r="A45" s="27"/>
      <x:c r="B45" s="27"/>
      <x:c r="C45" s="27"/>
      <x:c r="D45" s="27"/>
      <x:c r="E45" s="27"/>
      <x:c r="F45" s="27"/>
    </x:row>
    <x:row r="46">
      <x:c r="A46" s="27"/>
      <x:c r="B46" s="27"/>
      <x:c r="C46" s="27"/>
      <x:c r="D46" s="27"/>
      <x:c r="E46" s="27"/>
      <x:c r="F46" s="27"/>
    </x:row>
    <x:row r="47">
      <x:c r="A47" s="27"/>
      <x:c r="B47" s="27"/>
      <x:c r="C47" s="27"/>
      <x:c r="D47" s="27"/>
      <x:c r="E47" s="27"/>
      <x:c r="F47" s="27"/>
    </x:row>
    <x:row r="48">
      <x:c r="A48" s="27"/>
      <x:c r="B48" s="27"/>
      <x:c r="C48" s="27"/>
      <x:c r="D48" s="27"/>
      <x:c r="E48" s="27"/>
      <x:c r="F48" s="27"/>
    </x:row>
    <x:row r="49">
      <x:c r="A49" s="27"/>
      <x:c r="B49" s="27"/>
      <x:c r="C49" s="27"/>
      <x:c r="D49" s="27"/>
      <x:c r="E49" s="27"/>
      <x:c r="F49" s="27"/>
    </x:row>
    <x:row r="50">
      <x:c r="A50" s="27"/>
      <x:c r="B50" s="27"/>
      <x:c r="C50" s="27"/>
      <x:c r="D50" s="27"/>
      <x:c r="E50" s="27"/>
      <x:c r="F50" s="27"/>
    </x:row>
    <x:row r="51">
      <x:c r="A51" s="27"/>
      <x:c r="B51" s="27"/>
      <x:c r="C51" s="27"/>
      <x:c r="D51" s="27"/>
      <x:c r="E51" s="27"/>
      <x:c r="F51" s="27"/>
    </x:row>
    <x:row r="52">
      <x:c r="A52" s="27"/>
      <x:c r="B52" s="27"/>
      <x:c r="C52" s="27"/>
      <x:c r="D52" s="27"/>
      <x:c r="E52" s="27"/>
      <x:c r="F52" s="27"/>
    </x:row>
    <x:row r="53">
      <x:c r="A53" s="27"/>
      <x:c r="B53" s="27"/>
      <x:c r="C53" s="27"/>
      <x:c r="D53" s="27"/>
      <x:c r="E53" s="27"/>
      <x:c r="F53" s="27"/>
    </x:row>
    <x:row r="54">
      <x:c r="A54" s="27"/>
      <x:c r="B54" s="27"/>
      <x:c r="C54" s="27"/>
      <x:c r="D54" s="27"/>
      <x:c r="E54" s="27"/>
      <x:c r="F54" s="27"/>
    </x:row>
    <x:row r="55">
      <x:c r="A55" s="27"/>
      <x:c r="B55" s="27"/>
      <x:c r="C55" s="27"/>
      <x:c r="D55" s="27"/>
      <x:c r="E55" s="27"/>
      <x:c r="F55" s="27"/>
    </x:row>
    <x:row r="56">
      <x:c r="A56" s="27"/>
      <x:c r="B56" s="27"/>
      <x:c r="C56" s="27"/>
      <x:c r="D56" s="27"/>
      <x:c r="E56" s="27"/>
      <x:c r="F56" s="27"/>
    </x:row>
    <x:row r="57">
      <x:c r="A57" s="27"/>
      <x:c r="B57" s="27"/>
      <x:c r="C57" s="27"/>
      <x:c r="D57" s="27"/>
      <x:c r="E57" s="27"/>
      <x:c r="F57" s="27"/>
    </x:row>
    <x:row r="58">
      <x:c r="A58" s="27"/>
      <x:c r="B58" s="27"/>
      <x:c r="C58" s="27"/>
      <x:c r="D58" s="27"/>
      <x:c r="E58" s="27"/>
      <x:c r="F58" s="27"/>
    </x:row>
    <x:row r="59">
      <x:c r="A59" s="27"/>
      <x:c r="B59" s="27"/>
      <x:c r="C59" s="27"/>
      <x:c r="D59" s="27"/>
      <x:c r="E59" s="27"/>
      <x:c r="F59" s="27"/>
    </x:row>
    <x:row r="60">
      <x:c r="A60" s="27"/>
      <x:c r="B60" s="27"/>
      <x:c r="C60" s="27"/>
      <x:c r="D60" s="27"/>
      <x:c r="E60" s="27"/>
      <x:c r="F60" s="27"/>
    </x:row>
    <x:row r="61">
      <x:c r="A61" s="27"/>
      <x:c r="B61" s="27"/>
      <x:c r="C61" s="27"/>
      <x:c r="D61" s="27"/>
      <x:c r="E61" s="27"/>
      <x:c r="F61" s="27"/>
    </x:row>
    <x:row r="62">
      <x:c r="A62" s="27"/>
      <x:c r="B62" s="27"/>
      <x:c r="C62" s="27"/>
      <x:c r="D62" s="27"/>
      <x:c r="E62" s="27"/>
      <x:c r="F62" s="27"/>
    </x:row>
    <x:row r="63">
      <x:c r="A63" s="27"/>
      <x:c r="B63" s="27"/>
      <x:c r="C63" s="27"/>
      <x:c r="D63" s="27"/>
      <x:c r="E63" s="27"/>
      <x:c r="F63" s="27"/>
    </x:row>
    <x:row r="64">
      <x:c r="A64" s="27"/>
      <x:c r="B64" s="27"/>
      <x:c r="C64" s="27"/>
      <x:c r="D64" s="27"/>
      <x:c r="E64" s="27"/>
      <x:c r="F64" s="27"/>
    </x:row>
    <x:row r="65">
      <x:c r="A65" s="27"/>
      <x:c r="B65" s="27"/>
      <x:c r="C65" s="27"/>
      <x:c r="D65" s="27"/>
      <x:c r="E65" s="27"/>
      <x:c r="F65" s="27"/>
    </x:row>
    <x:row r="66">
      <x:c r="A66" s="27"/>
      <x:c r="B66" s="27"/>
      <x:c r="C66" s="27"/>
      <x:c r="D66" s="27"/>
      <x:c r="E66" s="27"/>
      <x:c r="F66" s="27"/>
    </x:row>
    <x:row r="67">
      <x:c r="A67" s="27"/>
      <x:c r="B67" s="27"/>
      <x:c r="C67" s="27"/>
      <x:c r="D67" s="27"/>
      <x:c r="E67" s="27"/>
      <x:c r="F67" s="27"/>
    </x:row>
    <x:row r="68">
      <x:c r="A68" s="27"/>
      <x:c r="B68" s="27"/>
      <x:c r="C68" s="27"/>
      <x:c r="D68" s="27"/>
      <x:c r="E68" s="27"/>
      <x:c r="F68" s="27"/>
    </x:row>
    <x:row r="69">
      <x:c r="A69" s="27"/>
      <x:c r="B69" s="27"/>
      <x:c r="C69" s="27"/>
      <x:c r="D69" s="27"/>
      <x:c r="E69" s="27"/>
      <x:c r="F69" s="27"/>
    </x:row>
    <x:row r="70">
      <x:c r="A70" s="27"/>
      <x:c r="B70" s="27"/>
      <x:c r="C70" s="27"/>
      <x:c r="D70" s="27"/>
      <x:c r="E70" s="27"/>
      <x:c r="F70" s="27"/>
    </x:row>
    <x:row r="71">
      <x:c r="A71" s="27"/>
      <x:c r="B71" s="27"/>
      <x:c r="C71" s="27"/>
      <x:c r="D71" s="27"/>
      <x:c r="E71" s="27"/>
      <x:c r="F71" s="27"/>
    </x:row>
    <x:row r="72">
      <x:c r="A72" s="27"/>
      <x:c r="B72" s="27"/>
      <x:c r="C72" s="27"/>
      <x:c r="D72" s="27"/>
      <x:c r="E72" s="27"/>
      <x:c r="F72" s="27"/>
    </x:row>
    <x:row r="73">
      <x:c r="A73" s="27"/>
      <x:c r="B73" s="27"/>
      <x:c r="C73" s="27"/>
      <x:c r="D73" s="27"/>
      <x:c r="E73" s="27"/>
      <x:c r="F73" s="27"/>
    </x:row>
    <x:row r="74">
      <x:c r="A74" s="27"/>
      <x:c r="B74" s="27"/>
      <x:c r="C74" s="27"/>
      <x:c r="D74" s="27"/>
      <x:c r="E74" s="27"/>
      <x:c r="F74" s="27"/>
    </x:row>
    <x:row r="75">
      <x:c r="A75" s="27"/>
      <x:c r="B75" s="27"/>
      <x:c r="C75" s="27"/>
      <x:c r="D75" s="27"/>
      <x:c r="E75" s="27"/>
      <x:c r="F75" s="27"/>
    </x:row>
    <x:row r="76">
      <x:c r="A76" s="27"/>
      <x:c r="B76" s="27"/>
      <x:c r="C76" s="27"/>
      <x:c r="D76" s="27"/>
      <x:c r="E76" s="27"/>
      <x:c r="F76" s="27"/>
    </x:row>
    <x:row r="77">
      <x:c r="A77" s="27"/>
      <x:c r="B77" s="27"/>
      <x:c r="C77" s="27"/>
      <x:c r="D77" s="27"/>
      <x:c r="E77" s="27"/>
      <x:c r="F77" s="27"/>
    </x:row>
    <x:row r="78">
      <x:c r="A78" s="27"/>
      <x:c r="B78" s="27"/>
      <x:c r="C78" s="27"/>
      <x:c r="D78" s="27"/>
      <x:c r="E78" s="27"/>
      <x:c r="F78" s="27"/>
    </x:row>
    <x:row r="79">
      <x:c r="A79" s="27"/>
      <x:c r="B79" s="27"/>
      <x:c r="C79" s="27"/>
      <x:c r="D79" s="27"/>
      <x:c r="E79" s="27"/>
      <x:c r="F79" s="27"/>
    </x:row>
    <x:row r="80">
      <x:c r="A80" s="27"/>
      <x:c r="B80" s="27"/>
      <x:c r="C80" s="27"/>
      <x:c r="D80" s="27"/>
      <x:c r="E80" s="27"/>
      <x:c r="F80" s="27"/>
    </x:row>
    <x:row r="81">
      <x:c r="A81" s="27"/>
      <x:c r="B81" s="27"/>
      <x:c r="C81" s="27"/>
      <x:c r="D81" s="27"/>
      <x:c r="E81" s="27"/>
      <x:c r="F81" s="27"/>
    </x:row>
    <x:row r="82">
      <x:c r="A82" s="27"/>
      <x:c r="B82" s="27"/>
      <x:c r="C82" s="27"/>
      <x:c r="D82" s="27"/>
      <x:c r="E82" s="27"/>
      <x:c r="F82" s="27"/>
    </x:row>
    <x:row r="83">
      <x:c r="A83" s="27"/>
      <x:c r="B83" s="27"/>
      <x:c r="C83" s="27"/>
      <x:c r="D83" s="27"/>
      <x:c r="E83" s="27"/>
      <x:c r="F83" s="27"/>
    </x:row>
    <x:row r="84">
      <x:c r="A84" s="27"/>
      <x:c r="B84" s="27"/>
      <x:c r="C84" s="27"/>
      <x:c r="D84" s="27"/>
      <x:c r="E84" s="27"/>
      <x:c r="F84" s="27"/>
    </x:row>
    <x:row r="85">
      <x:c r="A85" s="27"/>
      <x:c r="B85" s="27"/>
      <x:c r="C85" s="27"/>
      <x:c r="D85" s="27"/>
      <x:c r="E85" s="27"/>
      <x:c r="F85" s="27"/>
    </x:row>
    <x:row r="86">
      <x:c r="A86" s="27"/>
      <x:c r="B86" s="27"/>
      <x:c r="C86" s="27"/>
      <x:c r="D86" s="27"/>
      <x:c r="E86" s="27"/>
      <x:c r="F86" s="27"/>
    </x:row>
    <x:row r="87">
      <x:c r="A87" s="27"/>
      <x:c r="B87" s="27"/>
      <x:c r="C87" s="27"/>
      <x:c r="D87" s="27"/>
      <x:c r="E87" s="27"/>
      <x:c r="F87" s="27"/>
    </x:row>
    <x:row r="88">
      <x:c r="A88" s="27"/>
      <x:c r="B88" s="27"/>
      <x:c r="C88" s="27"/>
      <x:c r="D88" s="27"/>
      <x:c r="E88" s="27"/>
      <x:c r="F88" s="27"/>
    </x:row>
    <x:row r="89">
      <x:c r="A89" s="27"/>
      <x:c r="B89" s="27"/>
      <x:c r="C89" s="27"/>
      <x:c r="D89" s="27"/>
      <x:c r="E89" s="27"/>
      <x:c r="F89" s="27"/>
    </x:row>
    <x:row r="90">
      <x:c r="A90" s="27"/>
      <x:c r="B90" s="27"/>
      <x:c r="C90" s="27"/>
      <x:c r="D90" s="27"/>
      <x:c r="E90" s="27"/>
      <x:c r="F90" s="27"/>
    </x:row>
    <x:row r="91">
      <x:c r="A91" s="27"/>
      <x:c r="B91" s="27"/>
      <x:c r="C91" s="27"/>
      <x:c r="D91" s="27"/>
      <x:c r="E91" s="27"/>
      <x:c r="F91" s="27"/>
    </x:row>
    <x:row r="92">
      <x:c r="A92" s="27"/>
      <x:c r="B92" s="27"/>
      <x:c r="C92" s="27"/>
      <x:c r="D92" s="27"/>
      <x:c r="E92" s="27"/>
      <x:c r="F92" s="27"/>
    </x:row>
    <x:row r="93">
      <x:c r="A93" s="27"/>
      <x:c r="B93" s="27"/>
      <x:c r="C93" s="27"/>
      <x:c r="D93" s="27"/>
      <x:c r="E93" s="27"/>
      <x:c r="F93" s="27"/>
    </x:row>
    <x:row r="94">
      <x:c r="A94" s="27"/>
      <x:c r="B94" s="27"/>
      <x:c r="C94" s="27"/>
      <x:c r="D94" s="27"/>
      <x:c r="E94" s="27"/>
      <x:c r="F94" s="27"/>
    </x:row>
    <x:row r="95">
      <x:c r="A95" s="27"/>
      <x:c r="B95" s="27"/>
      <x:c r="C95" s="27"/>
      <x:c r="D95" s="27"/>
      <x:c r="E95" s="27"/>
      <x:c r="F95" s="27"/>
    </x:row>
    <x:row r="96">
      <x:c r="A96" s="27"/>
      <x:c r="B96" s="27"/>
      <x:c r="C96" s="27"/>
      <x:c r="D96" s="27"/>
      <x:c r="E96" s="27"/>
      <x:c r="F96" s="27"/>
    </x:row>
    <x:row r="97">
      <x:c r="A97" s="27"/>
      <x:c r="B97" s="27"/>
      <x:c r="C97" s="27"/>
      <x:c r="D97" s="27"/>
      <x:c r="E97" s="27"/>
      <x:c r="F97" s="27"/>
    </x:row>
    <x:row r="98">
      <x:c r="A98" s="27"/>
      <x:c r="B98" s="27"/>
      <x:c r="C98" s="27"/>
      <x:c r="D98" s="27"/>
      <x:c r="E98" s="27"/>
      <x:c r="F98" s="27"/>
    </x:row>
    <x:row r="99">
      <x:c r="A99" s="27"/>
      <x:c r="B99" s="27"/>
      <x:c r="C99" s="27"/>
      <x:c r="D99" s="27"/>
      <x:c r="E99" s="27"/>
      <x:c r="F99" s="27"/>
    </x:row>
    <x:row r="100">
      <x:c r="A100" s="27"/>
      <x:c r="B100" s="27"/>
      <x:c r="C100" s="27"/>
      <x:c r="D100" s="27"/>
      <x:c r="E100" s="27"/>
      <x:c r="F100" s="27"/>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42" hidden="0" customWidth="1"/>
    <x:col min="2" max="2" width="20" hidden="0" customWidth="1"/>
    <x:col min="3" max="3" width="26" hidden="0" customWidth="1"/>
    <x:col min="4" max="4" width="30" hidden="0" customWidth="1"/>
    <x:col min="5" max="5" width="74" hidden="0" customWidth="1"/>
  </x:cols>
  <x:sheetData>
    <x:row r="1">
      <x:c r="A1" s="64" t="str">
        <x:v>Sign-Aware Sky Layer — Completion QA</x:v>
      </x:c>
      <x:c r="B1" s="64"/>
      <x:c r="C1" s="64"/>
      <x:c r="D1" s="64"/>
      <x:c r="E1" s="64"/>
    </x:row>
    <x:row r="2">
      <x:c r="A2" s="27" t="str">
        <x:v>Component</x:v>
      </x:c>
      <x:c r="B2" s="27" t="str">
        <x:v>Count</x:v>
      </x:c>
      <x:c r="C2" s="27" t="str">
        <x:v>State</x:v>
      </x:c>
      <x:c r="D2" s="27" t="str">
        <x:v>Reader-facing?</x:v>
      </x:c>
      <x:c r="E2" s="27" t="str">
        <x:v>Notes</x:v>
      </x:c>
    </x:row>
    <x:row r="3">
      <x:c r="A3" s="27" t="str">
        <x:v>Generic pair-aspect fallbacks</x:v>
      </x:c>
      <x:c r="B3" s="27" t="n">
        <x:v>215</x:v>
      </x:c>
      <x:c r="C3" s="27" t="str">
        <x:v>COMPLETE</x:v>
      </x:c>
      <x:c r="D3" s="27" t="str">
        <x:v>Fallback only</x:v>
      </x:c>
      <x:c r="E3" s="27" t="str">
        <x:v>Restored into the updated workbook from the mechanically repaired corpus.</x:v>
      </x:c>
    </x:row>
    <x:row r="4">
      <x:c r="A4" s="27" t="str">
        <x:v>Pair meanings</x:v>
      </x:c>
      <x:c r="B4" s="27" t="n">
        <x:v>46</x:v>
      </x:c>
      <x:c r="C4" s="27" t="str">
        <x:v>AUTHORED</x:v>
      </x:c>
      <x:c r="D4" s="27" t="str">
        <x:v>No</x:v>
      </x:c>
      <x:c r="E4" s="27" t="str">
        <x:v>Invariant planet-pair semantics.</x:v>
      </x:c>
    </x:row>
    <x:row r="5">
      <x:c r="A5" s="27" t="str">
        <x:v>Aspect behaviors</x:v>
      </x:c>
      <x:c r="B5" s="27" t="n">
        <x:v>5</x:v>
      </x:c>
      <x:c r="C5" s="27" t="str">
        <x:v>AUTHORED</x:v>
      </x:c>
      <x:c r="D5" s="27" t="str">
        <x:v>No</x:v>
      </x:c>
      <x:c r="E5" s="27" t="str">
        <x:v>Conjunction, opposition, square, trine, sextile kept distinct.</x:v>
      </x:c>
    </x:row>
    <x:row r="6">
      <x:c r="A6" s="27" t="str">
        <x:v>Planet-in-sign mechanisms</x:v>
      </x:c>
      <x:c r="B6" s="27" t="n">
        <x:v>132</x:v>
      </x:c>
      <x:c r="C6" s="27" t="str">
        <x:v>AUTHORED</x:v>
      </x:c>
      <x:c r="D6" s="27" t="str">
        <x:v>No</x:v>
      </x:c>
      <x:c r="E6" s="27" t="str">
        <x:v>11 bodies × 12 signs.</x:v>
      </x:c>
    </x:row>
    <x:row r="7">
      <x:c r="A7" s="27" t="str">
        <x:v>Date/context rules</x:v>
      </x:c>
      <x:c r="B7" s="27" t="n">
        <x:v>8</x:v>
      </x:c>
      <x:c r="C7" s="27" t="str">
        <x:v>AUTHORED</x:v>
      </x:c>
      <x:c r="D7" s="27" t="str">
        <x:v>No</x:v>
      </x:c>
      <x:c r="E7" s="27" t="str">
        <x:v>Exact, applying, separating, station, retrograde, ingress.</x:v>
      </x:c>
    </x:row>
    <x:row r="8">
      <x:c r="A8" s="27" t="str">
        <x:v>Row-specific applying doctrine</x:v>
      </x:c>
      <x:c r="B8" s="27" t="n">
        <x:v>215</x:v>
      </x:c>
      <x:c r="C8" s="27" t="str">
        <x:v>PRESERVED</x:v>
      </x:c>
      <x:c r="D8" s="27" t="str">
        <x:v>No</x:v>
      </x:c>
      <x:c r="E8" s="27" t="str">
        <x:v>Carried from Source Doctrine.</x:v>
      </x:c>
    </x:row>
    <x:row r="9">
      <x:c r="A9" s="27" t="str">
        <x:v>Row-specific separating doctrine</x:v>
      </x:c>
      <x:c r="B9" s="27" t="n">
        <x:v>215</x:v>
      </x:c>
      <x:c r="C9" s="27" t="str">
        <x:v>PRESERVED</x:v>
      </x:c>
      <x:c r="D9" s="27" t="str">
        <x:v>No</x:v>
      </x:c>
      <x:c r="E9" s="27" t="str">
        <x:v>Carried from Source Doctrine.</x:v>
      </x:c>
    </x:row>
    <x:row r="10">
      <x:c r="A10" s="27" t="str">
        <x:v>Runtime authoring briefs</x:v>
      </x:c>
      <x:c r="B10" s="27" t="n">
        <x:v>215</x:v>
      </x:c>
      <x:c r="C10" s="27" t="str">
        <x:v>AUTHORED</x:v>
      </x:c>
      <x:c r="D10" s="27" t="str">
        <x:v>No</x:v>
      </x:c>
      <x:c r="E10" s="27" t="str">
        <x:v>Each exact pair-aspect key now has a sign/date-aware instruction.</x:v>
      </x:c>
    </x:row>
    <x:row r="11">
      <x:c r="A11" s="27" t="str">
        <x:v>Owner sign-aware benchmarks</x:v>
      </x:c>
      <x:c r="B11" s="27" t="n">
        <x:v>3</x:v>
      </x:c>
      <x:c r="C11" s="27" t="str">
        <x:v>LOCKED</x:v>
      </x:c>
      <x:c r="D11" s="27" t="str">
        <x:v>Yes</x:v>
      </x:c>
      <x:c r="E11" s="27" t="str">
        <x:v>Exact wording preserved.</x:v>
      </x:c>
    </x:row>
    <x:row r="12">
      <x:c r="A12" s="27"/>
      <x:c r="B12" s="27"/>
      <x:c r="C12" s="27"/>
      <x:c r="D12" s="27"/>
      <x:c r="E12" s="27"/>
    </x:row>
    <x:row r="13">
      <x:c r="A13" s="27" t="str">
        <x:v>Mechanical Calendar check</x:v>
      </x:c>
      <x:c r="B13" s="27" t="str">
        <x:v>Result</x:v>
      </x:c>
      <x:c r="C13" s="27" t="str">
        <x:v>Count</x:v>
      </x:c>
      <x:c r="D13" s="27" t="str">
        <x:v>Requirement</x:v>
      </x:c>
      <x:c r="E13" s="27" t="str">
        <x:v>Notes</x:v>
      </x:c>
    </x:row>
    <x:row r="14">
      <x:c r="A14" s="27" t="str">
        <x:v>Second-person pronouns in fallback bodies</x:v>
      </x:c>
      <x:c r="B14" s="27" t="str">
        <x:v>PASS</x:v>
      </x:c>
      <x:c r="C14" s="27" t="n">
        <x:v>0</x:v>
      </x:c>
      <x:c r="D14" s="27" t="n">
        <x:v>0</x:v>
      </x:c>
      <x:c r="E14" s="27"/>
    </x:row>
    <x:row r="15">
      <x:c r="A15" s="27" t="str">
        <x:v>Locked lexical exclusions in fallback bodies</x:v>
      </x:c>
      <x:c r="B15" s="27" t="str">
        <x:v>PASS</x:v>
      </x:c>
      <x:c r="C15" s="27" t="n">
        <x:v>0</x:v>
      </x:c>
      <x:c r="D15" s="27" t="n">
        <x:v>0</x:v>
      </x:c>
      <x:c r="E15" s="27" t="str">
        <x:v>Includes the previously flagged Moon-Venus and Sun-Pluto repairs.</x:v>
      </x:c>
    </x:row>
    <x:row r="16">
      <x:c r="A16" s="27" t="str">
        <x:v>Unresolved template slots in fallback bodies</x:v>
      </x:c>
      <x:c r="B16" s="27" t="str">
        <x:v>PASS</x:v>
      </x:c>
      <x:c r="C16" s="27" t="n">
        <x:v>0</x:v>
      </x:c>
      <x:c r="D16" s="27" t="n">
        <x:v>0</x:v>
      </x:c>
      <x:c r="E16" s="27"/>
    </x:row>
    <x:row r="17">
      <x:c r="A17" s="27" t="str">
        <x:v>Source/current body changed</x:v>
      </x:c>
      <x:c r="B17" s="27" t="str">
        <x:v>PASS</x:v>
      </x:c>
      <x:c r="C17" s="27" t="n">
        <x:v>0</x:v>
      </x:c>
      <x:c r="D17" s="27" t="n">
        <x:v>0</x:v>
      </x:c>
      <x:c r="E17" s="27" t="str">
        <x:v>Original Current Summary/Body/Doctrine preserved.</x:v>
      </x:c>
    </x:row>
    <x:row r="18">
      <x:c r="A18" s="27" t="str">
        <x:v>Serving changes</x:v>
      </x:c>
      <x:c r="B18" s="27" t="str">
        <x:v>PASS</x:v>
      </x:c>
      <x:c r="C18" s="27" t="n">
        <x:v>0</x:v>
      </x:c>
      <x:c r="D18" s="27" t="n">
        <x:v>0</x:v>
      </x:c>
      <x:c r="E18" s="27" t="str">
        <x:v>No application or source deployment performed.</x:v>
      </x:c>
    </x:row>
    <x:row r="19">
      <x:c r="A19" s="27"/>
      <x:c r="B19" s="27"/>
      <x:c r="C19" s="27"/>
      <x:c r="D19" s="27"/>
      <x:c r="E19" s="27"/>
    </x:row>
    <x:row r="20">
      <x:c r="A20" s="27" t="str">
        <x:v>Runtime requirement</x:v>
      </x:c>
      <x:c r="B20" s="27" t="str">
        <x:v>State</x:v>
      </x:c>
      <x:c r="C20" s="27" t="str">
        <x:v>Why</x:v>
      </x:c>
      <x:c r="D20" s="27"/>
      <x:c r="E20" s="27"/>
    </x:row>
    <x:row r="21">
      <x:c r="A21" s="27" t="str">
        <x:v>Planet A sign</x:v>
      </x:c>
      <x:c r="B21" s="27" t="str">
        <x:v>REQUIRED</x:v>
      </x:c>
      <x:c r="C21" s="27" t="str">
        <x:v>Changes how Planet A acts and what situation is plausible.</x:v>
      </x:c>
      <x:c r="D21" s="27"/>
      <x:c r="E21" s="27"/>
    </x:row>
    <x:row r="22">
      <x:c r="A22" s="27" t="str">
        <x:v>Planet B sign</x:v>
      </x:c>
      <x:c r="B22" s="27" t="str">
        <x:v>REQUIRED</x:v>
      </x:c>
      <x:c r="C22" s="27" t="str">
        <x:v>Changes what Planet B protects, expands, limits, disrupts, obscures, or controls.</x:v>
      </x:c>
      <x:c r="D22" s="27"/>
      <x:c r="E22" s="27"/>
    </x:row>
    <x:row r="23">
      <x:c r="A23" s="27" t="str">
        <x:v>Exact local date/time</x:v>
      </x:c>
      <x:c r="B23" s="27" t="str">
        <x:v>REQUIRED</x:v>
      </x:c>
      <x:c r="C23" s="27" t="str">
        <x:v>Controls the temporal context and card header.</x:v>
      </x:c>
      <x:c r="D23" s="27"/>
      <x:c r="E23" s="27"/>
    </x:row>
    <x:row r="24">
      <x:c r="A24" s="27" t="str">
        <x:v>Orb + phase</x:v>
      </x:c>
      <x:c r="B24" s="27" t="str">
        <x:v>REQUIRED</x:v>
      </x:c>
      <x:c r="C24" s="27" t="str">
        <x:v>Controls buildup, peak, or aftermath.</x:v>
      </x:c>
      <x:c r="D24" s="27"/>
      <x:c r="E24" s="27"/>
    </x:row>
    <x:row r="25">
      <x:c r="A25" s="27" t="str">
        <x:v>Motion / ingress flags</x:v>
      </x:c>
      <x:c r="B25" s="27" t="str">
        <x:v>OPTIONAL</x:v>
      </x:c>
      <x:c r="C25" s="27" t="str">
        <x:v>Used only when materially relevant.</x:v>
      </x:c>
      <x:c r="D25" s="27"/>
      <x:c r="E25" s="27"/>
    </x:row>
    <x:row r="26">
      <x:c r="A26" s="27" t="str">
        <x:v>Important</x:v>
      </x:c>
      <x:c r="B26" s="27" t="str">
        <x:v>NO SIGN OR DATE INSTANCES INVENTED</x:v>
      </x:c>
      <x:c r="C26" s="27" t="str">
        <x:v>The updated 215-row file does not contain calculated runtime events.</x:v>
      </x:c>
      <x:c r="D26" s="27" t="str">
        <x:v>Final Runtime Body remains blank until the calculation supplies sign/date/orb/phase.</x:v>
      </x:c>
      <x:c r="E26" s="27" t="str">
        <x:v>This is intentional.</x:v>
      </x:c>
    </x:row>
    <x:row r="27">
      <x:c r="A27" s="27"/>
      <x:c r="B27" s="27"/>
      <x:c r="C27" s="27"/>
      <x:c r="D27" s="27"/>
      <x:c r="E27" s="27"/>
    </x:row>
    <x:row r="28">
      <x:c r="A28" s="27"/>
      <x:c r="B28" s="27"/>
      <x:c r="C28" s="27"/>
      <x:c r="D28" s="27"/>
      <x:c r="E28" s="27"/>
    </x:row>
    <x:row r="29">
      <x:c r="A29" s="27"/>
      <x:c r="B29" s="27"/>
      <x:c r="C29" s="27"/>
      <x:c r="D29" s="27"/>
      <x:c r="E29" s="27"/>
    </x:row>
    <x:row r="30">
      <x:c r="A30" s="27"/>
      <x:c r="B30" s="27"/>
      <x:c r="C30" s="27"/>
      <x:c r="D30" s="27"/>
      <x:c r="E30" s="27"/>
    </x:row>
    <x:row r="31">
      <x:c r="A31" s="27"/>
      <x:c r="B31" s="27"/>
      <x:c r="C31" s="27"/>
      <x:c r="D31" s="27"/>
      <x:c r="E31" s="27"/>
    </x:row>
    <x:row r="32">
      <x:c r="A32" s="27"/>
      <x:c r="B32" s="27"/>
      <x:c r="C32" s="27"/>
      <x:c r="D32" s="27"/>
      <x:c r="E32" s="27"/>
    </x:row>
    <x:row r="33">
      <x:c r="A33" s="27"/>
      <x:c r="B33" s="27"/>
      <x:c r="C33" s="27"/>
      <x:c r="D33" s="27"/>
      <x:c r="E33" s="27"/>
    </x:row>
    <x:row r="34">
      <x:c r="A34" s="27"/>
      <x:c r="B34" s="27"/>
      <x:c r="C34" s="27"/>
      <x:c r="D34" s="27"/>
      <x:c r="E34" s="27"/>
    </x:row>
    <x:row r="35">
      <x:c r="A35" s="27"/>
      <x:c r="B35" s="27"/>
      <x:c r="C35" s="27"/>
      <x:c r="D35" s="27"/>
      <x:c r="E35" s="27"/>
    </x:row>
    <x:row r="36">
      <x:c r="A36" s="27"/>
      <x:c r="B36" s="27"/>
      <x:c r="C36" s="27"/>
      <x:c r="D36" s="27"/>
      <x:c r="E36" s="27"/>
    </x:row>
    <x:row r="37">
      <x:c r="A37" s="27"/>
      <x:c r="B37" s="27"/>
      <x:c r="C37" s="27"/>
      <x:c r="D37" s="27"/>
      <x:c r="E37" s="27"/>
    </x:row>
    <x:row r="38">
      <x:c r="A38" s="27"/>
      <x:c r="B38" s="27"/>
      <x:c r="C38" s="27"/>
      <x:c r="D38" s="27"/>
      <x:c r="E38" s="27"/>
    </x:row>
    <x:row r="39">
      <x:c r="A39" s="27"/>
      <x:c r="B39" s="27"/>
      <x:c r="C39" s="27"/>
      <x:c r="D39" s="27"/>
      <x:c r="E39" s="27"/>
    </x:row>
    <x:row r="40">
      <x:c r="A40" s="27"/>
      <x:c r="B40" s="27"/>
      <x:c r="C40" s="27"/>
      <x:c r="D40" s="27"/>
      <x:c r="E40" s="27"/>
    </x:row>
    <x:row r="41">
      <x:c r="A41" s="27"/>
      <x:c r="B41" s="27"/>
      <x:c r="C41" s="27"/>
      <x:c r="D41" s="27"/>
      <x:c r="E41" s="27"/>
    </x:row>
    <x:row r="42">
      <x:c r="A42" s="27"/>
      <x:c r="B42" s="27"/>
      <x:c r="C42" s="27"/>
      <x:c r="D42" s="27"/>
      <x:c r="E42" s="27"/>
    </x:row>
    <x:row r="43">
      <x:c r="A43" s="27"/>
      <x:c r="B43" s="27"/>
      <x:c r="C43" s="27"/>
      <x:c r="D43" s="27"/>
      <x:c r="E43" s="27"/>
    </x:row>
    <x:row r="44">
      <x:c r="A44" s="27"/>
      <x:c r="B44" s="27"/>
      <x:c r="C44" s="27"/>
      <x:c r="D44" s="27"/>
      <x:c r="E44" s="27"/>
    </x:row>
    <x:row r="45">
      <x:c r="A45" s="27"/>
      <x:c r="B45" s="27"/>
      <x:c r="C45" s="27"/>
      <x:c r="D45" s="27"/>
      <x:c r="E45" s="27"/>
    </x:row>
    <x:row r="46">
      <x:c r="A46" s="27"/>
      <x:c r="B46" s="27"/>
      <x:c r="C46" s="27"/>
      <x:c r="D46" s="27"/>
      <x:c r="E46" s="27"/>
    </x:row>
    <x:row r="47">
      <x:c r="A47" s="27"/>
      <x:c r="B47" s="27"/>
      <x:c r="C47" s="27"/>
      <x:c r="D47" s="27"/>
      <x:c r="E47" s="27"/>
    </x:row>
    <x:row r="48">
      <x:c r="A48" s="27"/>
      <x:c r="B48" s="27"/>
      <x:c r="C48" s="27"/>
      <x:c r="D48" s="27"/>
      <x:c r="E48" s="27"/>
    </x:row>
    <x:row r="49">
      <x:c r="A49" s="27"/>
      <x:c r="B49" s="27"/>
      <x:c r="C49" s="27"/>
      <x:c r="D49" s="27"/>
      <x:c r="E49" s="27"/>
    </x:row>
    <x:row r="50">
      <x:c r="A50" s="27"/>
      <x:c r="B50" s="27"/>
      <x:c r="C50" s="27"/>
      <x:c r="D50" s="27"/>
      <x:c r="E50" s="27"/>
    </x:row>
    <x:row r="51">
      <x:c r="A51" s="27"/>
      <x:c r="B51" s="27"/>
      <x:c r="C51" s="27"/>
      <x:c r="D51" s="27"/>
      <x:c r="E51" s="27"/>
    </x:row>
    <x:row r="52">
      <x:c r="A52" s="27"/>
      <x:c r="B52" s="27"/>
      <x:c r="C52" s="27"/>
      <x:c r="D52" s="27"/>
      <x:c r="E52" s="27"/>
    </x:row>
    <x:row r="53">
      <x:c r="A53" s="27"/>
      <x:c r="B53" s="27"/>
      <x:c r="C53" s="27"/>
      <x:c r="D53" s="27"/>
      <x:c r="E53" s="27"/>
    </x:row>
    <x:row r="54">
      <x:c r="A54" s="27"/>
      <x:c r="B54" s="27"/>
      <x:c r="C54" s="27"/>
      <x:c r="D54" s="27"/>
      <x:c r="E54" s="27"/>
    </x:row>
    <x:row r="55">
      <x:c r="A55" s="27"/>
      <x:c r="B55" s="27"/>
      <x:c r="C55" s="27"/>
      <x:c r="D55" s="27"/>
      <x:c r="E55" s="27"/>
    </x:row>
    <x:row r="56">
      <x:c r="A56" s="27"/>
      <x:c r="B56" s="27"/>
      <x:c r="C56" s="27"/>
      <x:c r="D56" s="27"/>
      <x:c r="E56" s="27"/>
    </x:row>
    <x:row r="57">
      <x:c r="A57" s="27"/>
      <x:c r="B57" s="27"/>
      <x:c r="C57" s="27"/>
      <x:c r="D57" s="27"/>
      <x:c r="E57" s="27"/>
    </x:row>
    <x:row r="58">
      <x:c r="A58" s="27"/>
      <x:c r="B58" s="27"/>
      <x:c r="C58" s="27"/>
      <x:c r="D58" s="27"/>
      <x:c r="E58" s="27"/>
    </x:row>
    <x:row r="59">
      <x:c r="A59" s="27"/>
      <x:c r="B59" s="27"/>
      <x:c r="C59" s="27"/>
      <x:c r="D59" s="27"/>
      <x:c r="E59" s="27"/>
    </x:row>
    <x:row r="60">
      <x:c r="A60" s="27"/>
      <x:c r="B60" s="27"/>
      <x:c r="C60" s="27"/>
      <x:c r="D60" s="27"/>
      <x:c r="E60" s="27"/>
    </x:row>
    <x:row r="61">
      <x:c r="A61" s="27"/>
      <x:c r="B61" s="27"/>
      <x:c r="C61" s="27"/>
      <x:c r="D61" s="27"/>
      <x:c r="E61" s="27"/>
    </x:row>
    <x:row r="62">
      <x:c r="A62" s="27"/>
      <x:c r="B62" s="27"/>
      <x:c r="C62" s="27"/>
      <x:c r="D62" s="27"/>
      <x:c r="E62" s="27"/>
    </x:row>
    <x:row r="63">
      <x:c r="A63" s="27"/>
      <x:c r="B63" s="27"/>
      <x:c r="C63" s="27"/>
      <x:c r="D63" s="27"/>
      <x:c r="E63" s="27"/>
    </x:row>
    <x:row r="64">
      <x:c r="A64" s="27"/>
      <x:c r="B64" s="27"/>
      <x:c r="C64" s="27"/>
      <x:c r="D64" s="27"/>
      <x:c r="E64" s="27"/>
    </x:row>
    <x:row r="65">
      <x:c r="A65" s="27"/>
      <x:c r="B65" s="27"/>
      <x:c r="C65" s="27"/>
      <x:c r="D65" s="27"/>
      <x:c r="E65" s="27"/>
    </x:row>
    <x:row r="66">
      <x:c r="A66" s="27"/>
      <x:c r="B66" s="27"/>
      <x:c r="C66" s="27"/>
      <x:c r="D66" s="27"/>
      <x:c r="E66" s="27"/>
    </x:row>
    <x:row r="67">
      <x:c r="A67" s="27"/>
      <x:c r="B67" s="27"/>
      <x:c r="C67" s="27"/>
      <x:c r="D67" s="27"/>
      <x:c r="E67" s="27"/>
    </x:row>
    <x:row r="68">
      <x:c r="A68" s="27"/>
      <x:c r="B68" s="27"/>
      <x:c r="C68" s="27"/>
      <x:c r="D68" s="27"/>
      <x:c r="E68" s="27"/>
    </x:row>
    <x:row r="69">
      <x:c r="A69" s="27"/>
      <x:c r="B69" s="27"/>
      <x:c r="C69" s="27"/>
      <x:c r="D69" s="27"/>
      <x:c r="E69" s="27"/>
    </x:row>
    <x:row r="70">
      <x:c r="A70" s="27"/>
      <x:c r="B70" s="27"/>
      <x:c r="C70" s="27"/>
      <x:c r="D70" s="27"/>
      <x:c r="E70" s="27"/>
    </x:row>
    <x:row r="71">
      <x:c r="A71" s="27"/>
      <x:c r="B71" s="27"/>
      <x:c r="C71" s="27"/>
      <x:c r="D71" s="27"/>
      <x:c r="E71" s="27"/>
    </x:row>
    <x:row r="72">
      <x:c r="A72" s="27"/>
      <x:c r="B72" s="27"/>
      <x:c r="C72" s="27"/>
      <x:c r="D72" s="27"/>
      <x:c r="E72" s="27"/>
    </x:row>
    <x:row r="73">
      <x:c r="A73" s="27"/>
      <x:c r="B73" s="27"/>
      <x:c r="C73" s="27"/>
      <x:c r="D73" s="27"/>
      <x:c r="E73" s="27"/>
    </x:row>
    <x:row r="74">
      <x:c r="A74" s="27"/>
      <x:c r="B74" s="27"/>
      <x:c r="C74" s="27"/>
      <x:c r="D74" s="27"/>
      <x:c r="E74" s="27"/>
    </x:row>
    <x:row r="75">
      <x:c r="A75" s="27"/>
      <x:c r="B75" s="27"/>
      <x:c r="C75" s="27"/>
      <x:c r="D75" s="27"/>
      <x:c r="E75" s="27"/>
    </x:row>
    <x:row r="76">
      <x:c r="A76" s="27"/>
      <x:c r="B76" s="27"/>
      <x:c r="C76" s="27"/>
      <x:c r="D76" s="27"/>
      <x:c r="E76" s="27"/>
    </x:row>
    <x:row r="77">
      <x:c r="A77" s="27"/>
      <x:c r="B77" s="27"/>
      <x:c r="C77" s="27"/>
      <x:c r="D77" s="27"/>
      <x:c r="E77" s="27"/>
    </x:row>
    <x:row r="78">
      <x:c r="A78" s="27"/>
      <x:c r="B78" s="27"/>
      <x:c r="C78" s="27"/>
      <x:c r="D78" s="27"/>
      <x:c r="E78" s="27"/>
    </x:row>
    <x:row r="79">
      <x:c r="A79" s="27"/>
      <x:c r="B79" s="27"/>
      <x:c r="C79" s="27"/>
      <x:c r="D79" s="27"/>
      <x:c r="E79" s="27"/>
    </x:row>
    <x:row r="80">
      <x:c r="A80" s="27"/>
      <x:c r="B80" s="27"/>
      <x:c r="C80" s="27"/>
      <x:c r="D80" s="27"/>
      <x:c r="E80" s="27"/>
    </x:row>
    <x:row r="81">
      <x:c r="A81" s="27"/>
      <x:c r="B81" s="27"/>
      <x:c r="C81" s="27"/>
      <x:c r="D81" s="27"/>
      <x:c r="E81" s="27"/>
    </x:row>
    <x:row r="82">
      <x:c r="A82" s="27"/>
      <x:c r="B82" s="27"/>
      <x:c r="C82" s="27"/>
      <x:c r="D82" s="27"/>
      <x:c r="E82" s="27"/>
    </x:row>
    <x:row r="83">
      <x:c r="A83" s="27"/>
      <x:c r="B83" s="27"/>
      <x:c r="C83" s="27"/>
      <x:c r="D83" s="27"/>
      <x:c r="E83" s="27"/>
    </x:row>
    <x:row r="84">
      <x:c r="A84" s="27"/>
      <x:c r="B84" s="27"/>
      <x:c r="C84" s="27"/>
      <x:c r="D84" s="27"/>
      <x:c r="E84" s="27"/>
    </x:row>
    <x:row r="85">
      <x:c r="A85" s="27"/>
      <x:c r="B85" s="27"/>
      <x:c r="C85" s="27"/>
      <x:c r="D85" s="27"/>
      <x:c r="E85" s="27"/>
    </x:row>
    <x:row r="86">
      <x:c r="A86" s="27"/>
      <x:c r="B86" s="27"/>
      <x:c r="C86" s="27"/>
      <x:c r="D86" s="27"/>
      <x:c r="E86" s="27"/>
    </x:row>
    <x:row r="87">
      <x:c r="A87" s="27"/>
      <x:c r="B87" s="27"/>
      <x:c r="C87" s="27"/>
      <x:c r="D87" s="27"/>
      <x:c r="E87" s="27"/>
    </x:row>
    <x:row r="88">
      <x:c r="A88" s="27"/>
      <x:c r="B88" s="27"/>
      <x:c r="C88" s="27"/>
      <x:c r="D88" s="27"/>
      <x:c r="E88" s="27"/>
    </x:row>
    <x:row r="89">
      <x:c r="A89" s="27"/>
      <x:c r="B89" s="27"/>
      <x:c r="C89" s="27"/>
      <x:c r="D89" s="27"/>
      <x:c r="E89" s="27"/>
    </x:row>
    <x:row r="90">
      <x:c r="A90" s="27"/>
      <x:c r="B90" s="27"/>
      <x:c r="C90" s="27"/>
      <x:c r="D90" s="27"/>
      <x:c r="E90" s="27"/>
    </x:row>
    <x:row r="91">
      <x:c r="A91" s="27"/>
      <x:c r="B91" s="27"/>
      <x:c r="C91" s="27"/>
      <x:c r="D91" s="27"/>
      <x:c r="E91" s="27"/>
    </x:row>
    <x:row r="92">
      <x:c r="A92" s="27"/>
      <x:c r="B92" s="27"/>
      <x:c r="C92" s="27"/>
      <x:c r="D92" s="27"/>
      <x:c r="E92" s="27"/>
    </x:row>
    <x:row r="93">
      <x:c r="A93" s="27"/>
      <x:c r="B93" s="27"/>
      <x:c r="C93" s="27"/>
      <x:c r="D93" s="27"/>
      <x:c r="E93" s="27"/>
    </x:row>
    <x:row r="94">
      <x:c r="A94" s="27"/>
      <x:c r="B94" s="27"/>
      <x:c r="C94" s="27"/>
      <x:c r="D94" s="27"/>
      <x:c r="E94" s="27"/>
    </x:row>
    <x:row r="95">
      <x:c r="A95" s="27"/>
      <x:c r="B95" s="27"/>
      <x:c r="C95" s="27"/>
      <x:c r="D95" s="27"/>
      <x:c r="E95" s="27"/>
    </x:row>
    <x:row r="96">
      <x:c r="A96" s="27"/>
      <x:c r="B96" s="27"/>
      <x:c r="C96" s="27"/>
      <x:c r="D96" s="27"/>
      <x:c r="E96" s="27"/>
    </x:row>
    <x:row r="97">
      <x:c r="A97" s="27"/>
      <x:c r="B97" s="27"/>
      <x:c r="C97" s="27"/>
      <x:c r="D97" s="27"/>
      <x:c r="E97" s="27"/>
    </x:row>
    <x:row r="98">
      <x:c r="A98" s="27"/>
      <x:c r="B98" s="27"/>
      <x:c r="C98" s="27"/>
      <x:c r="D98" s="27"/>
      <x:c r="E98" s="27"/>
    </x:row>
    <x:row r="99">
      <x:c r="A99" s="27"/>
      <x:c r="B99" s="27"/>
      <x:c r="C99" s="27"/>
      <x:c r="D99" s="27"/>
      <x:c r="E99" s="27"/>
    </x:row>
    <x:row r="100">
      <x:c r="A100" s="27"/>
      <x:c r="B100" s="27"/>
      <x:c r="C100" s="27"/>
      <x:c r="D100" s="27"/>
      <x:c r="E100" s="27"/>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6" hidden="0" customWidth="1"/>
    <x:col min="2" max="2" width="56" hidden="0" customWidth="1"/>
    <x:col min="3" max="3" width="4" hidden="0" customWidth="1"/>
    <x:col min="4" max="4" width="22" hidden="0" customWidth="1"/>
    <x:col min="5" max="5" width="16" hidden="0" customWidth="1"/>
    <x:col min="6" max="6" width="4" hidden="0" customWidth="1"/>
  </x:cols>
  <x:sheetData>
    <x:row r="1" ht="28" customHeight="1">
      <x:c r="A1" s="81" t="str">
        <x:v>Sky Calendar - 215-Aspect Batch Approval</x:v>
      </x:c>
      <x:c r="B1" s="81"/>
      <x:c r="C1" s="81"/>
      <x:c r="D1" s="81"/>
      <x:c r="E1" s="81"/>
      <x:c r="F1" s="81"/>
    </x:row>
    <x:row r="2" ht="28" customHeight="1">
      <x:c r="A2" s="81"/>
      <x:c r="B2" s="81"/>
      <x:c r="C2" s="81"/>
      <x:c r="D2" s="81"/>
      <x:c r="E2" s="81"/>
      <x:c r="F2" s="81"/>
    </x:row>
    <x:row r="3" ht="36" customHeight="1">
      <x:c r="A3" s="85" t="str">
        <x:v>The full 215-row owner rewrite set is here. The earlier eight cards were only a composer pilot; they did not replace this corpus.</x:v>
      </x:c>
      <x:c r="B3" s="85"/>
      <x:c r="C3" s="85"/>
      <x:c r="D3" s="85"/>
      <x:c r="E3" s="85"/>
      <x:c r="F3" s="85"/>
    </x:row>
    <x:row r="5">
      <x:c r="A5" s="87" t="str">
        <x:v>Field</x:v>
      </x:c>
      <x:c r="B5" s="87" t="str">
        <x:v>Value</x:v>
      </x:c>
      <x:c r="D5" s="87" t="str">
        <x:v>Decision count</x:v>
      </x:c>
      <x:c r="E5" s="87" t="str">
        <x:v>Current value</x:v>
      </x:c>
    </x:row>
    <x:row r="6">
      <x:c r="A6" s="91" t="str">
        <x:v>Batch status</x:v>
      </x:c>
      <x:c r="B6" s="94" t="str">
        <x:v>PENDING OWNER</x:v>
      </x:c>
      <x:c r="D6" s="89" t="str">
        <x:v>Included</x:v>
      </x:c>
      <x:c r="E6" s="96" t="n">
        <x:f>COUNTIF('Rewrite Workspace'!$P$3:$P$217,"INCLUDE")</x:f>
        <x:v>215</x:v>
      </x:c>
    </x:row>
    <x:row r="7">
      <x:c r="A7" s="91" t="str">
        <x:v>Rows</x:v>
      </x:c>
      <x:c r="B7" s="94" t="n">
        <x:v>215</x:v>
      </x:c>
      <x:c r="D7" s="89" t="str">
        <x:v>Revise</x:v>
      </x:c>
      <x:c r="E7" s="96" t="n">
        <x:f>COUNTIF('Rewrite Workspace'!$P$3:$P$217,"REVISE")</x:f>
        <x:v>0</x:v>
      </x:c>
    </x:row>
    <x:row r="8">
      <x:c r="A8" s="91" t="str">
        <x:v>LIVE-record reconciliation</x:v>
      </x:c>
      <x:c r="B8" s="94" t="str">
        <x:v>215 of 215 matched</x:v>
      </x:c>
      <x:c r="D8" s="89" t="str">
        <x:v>Reject</x:v>
      </x:c>
      <x:c r="E8" s="96" t="n">
        <x:f>COUNTIF('Rewrite Workspace'!$P$3:$P$217,"REJECT")</x:f>
        <x:v>0</x:v>
      </x:c>
    </x:row>
    <x:row r="9">
      <x:c r="A9" s="91" t="str">
        <x:v>Aggregate SHA-256</x:v>
      </x:c>
      <x:c r="B9" s="71" t="str">
        <x:v>2bd51aa2797c9e9159f77a57e6fec37eb23a63caec11b9c69656e4a63657b95c</x:v>
      </x:c>
      <x:c r="D9" s="89" t="str">
        <x:v>Total</x:v>
      </x:c>
      <x:c r="E9" s="96" t="n">
        <x:f>SUM(E6:E8)</x:f>
        <x:v>215</x:v>
      </x:c>
    </x:row>
    <x:row r="10">
      <x:c r="A10" s="91" t="str">
        <x:v>Source workbook SHA-256</x:v>
      </x:c>
      <x:c r="B10" s="71" t="str">
        <x:v>edf5cd7da9996da060302d94d8b747e099c8a36dbf371a3afde7a7b2c6efd5c1</x:v>
      </x:c>
    </x:row>
    <x:row r="11">
      <x:c r="A11" s="91" t="str">
        <x:v>Serving effect</x:v>
      </x:c>
      <x:c r="B11" s="94" t="str">
        <x:v>NONE</x:v>
      </x:c>
    </x:row>
    <x:row r="12">
      <x:c r="A12" s="91" t="str">
        <x:v>Model calls</x:v>
      </x:c>
      <x:c r="B12" s="94" t="n">
        <x:v>0</x:v>
      </x:c>
    </x:row>
    <x:row r="13">
      <x:c r="A13" s="91" t="str">
        <x:v>Copy changed while packaging</x:v>
      </x:c>
      <x:c r="B13" s="94" t="str">
        <x:v>NO</x:v>
      </x:c>
    </x:row>
    <x:row r="15">
      <x:c r="A15" s="87" t="str">
        <x:v>How to review and approve</x:v>
      </x:c>
      <x:c r="B15" s="87"/>
      <x:c r="C15" s="87"/>
      <x:c r="D15" s="87"/>
      <x:c r="E15" s="87"/>
      <x:c r="F15" s="87"/>
    </x:row>
    <x:row r="16" ht="24" customHeight="1">
      <x:c r="A16" s="99" t="str">
        <x:v>1. Open Rewrite Workspace and read the Owner Rewrite Summary and Owner Rewrite Body columns.
2. Leave Batch Decision as INCLUDE for wording you accept. Change only exceptions to REVISE or REJECT and add a note.
3. When ready, approve the aggregate hash below. Your approval may exclude rows marked REVISE or REJECT.
4. Approval does not publish automatically. It authorizes a separate verified shipping pull request.</x:v>
      </x:c>
      <x:c r="B16" s="99"/>
      <x:c r="C16" s="99"/>
      <x:c r="D16" s="99"/>
      <x:c r="E16" s="99"/>
      <x:c r="F16" s="99"/>
    </x:row>
    <x:row r="17" ht="24" customHeight="1">
      <x:c r="A17" s="99"/>
      <x:c r="B17" s="99"/>
      <x:c r="C17" s="99"/>
      <x:c r="D17" s="99"/>
      <x:c r="E17" s="99"/>
      <x:c r="F17" s="99"/>
    </x:row>
    <x:row r="18" ht="24" customHeight="1">
      <x:c r="A18" s="99"/>
      <x:c r="B18" s="99"/>
      <x:c r="C18" s="99"/>
      <x:c r="D18" s="99"/>
      <x:c r="E18" s="99"/>
      <x:c r="F18" s="99"/>
    </x:row>
    <x:row r="19" ht="24" customHeight="1">
      <x:c r="A19" s="99"/>
      <x:c r="B19" s="99"/>
      <x:c r="C19" s="99"/>
      <x:c r="D19" s="99"/>
      <x:c r="E19" s="99"/>
      <x:c r="F19" s="99"/>
    </x:row>
    <x:row r="20" ht="24" customHeight="1">
      <x:c r="A20" s="99"/>
      <x:c r="B20" s="99"/>
      <x:c r="C20" s="99"/>
      <x:c r="D20" s="99"/>
      <x:c r="E20" s="99"/>
      <x:c r="F20" s="99"/>
    </x:row>
    <x:row r="21" ht="24" customHeight="1">
      <x:c r="A21" s="99"/>
      <x:c r="B21" s="99"/>
      <x:c r="C21" s="99"/>
      <x:c r="D21" s="99"/>
      <x:c r="E21" s="99"/>
      <x:c r="F21" s="99"/>
    </x:row>
    <x:row r="23">
      <x:c r="A23" s="87" t="str">
        <x:v>Exact batch-approval statement</x:v>
      </x:c>
      <x:c r="B23" s="87"/>
      <x:c r="C23" s="87"/>
      <x:c r="D23" s="87"/>
      <x:c r="E23" s="87"/>
      <x:c r="F23" s="87"/>
    </x:row>
    <x:row r="24" ht="26" customHeight="1">
      <x:c r="A24" s="103" t="str">
        <x:v>I approve the 215 Sky Calendar exact-aspect payloads in sky-calendar-215-owner-rewrite-payloads.json at aggregate SHA-256 2bd51aa2797c9e9159f77a57e6fec37eb23a63caec11b9c69656e4a63657b95c, except any rows I marked REVISE or REJECT in the batch workbook. This is exact wording approval only; serving requires a separate shipping PR.</x:v>
      </x:c>
      <x:c r="B24" s="103"/>
      <x:c r="C24" s="103"/>
      <x:c r="D24" s="103"/>
      <x:c r="E24" s="103"/>
      <x:c r="F24" s="103"/>
    </x:row>
    <x:row r="25" ht="26" customHeight="1">
      <x:c r="A25" s="103"/>
      <x:c r="B25" s="103"/>
      <x:c r="C25" s="103"/>
      <x:c r="D25" s="103"/>
      <x:c r="E25" s="103"/>
      <x:c r="F25" s="103"/>
    </x:row>
    <x:row r="26" ht="26" customHeight="1">
      <x:c r="A26" s="103"/>
      <x:c r="B26" s="103"/>
      <x:c r="C26" s="103"/>
      <x:c r="D26" s="103"/>
      <x:c r="E26" s="103"/>
      <x:c r="F26" s="103"/>
    </x:row>
    <x:row r="27" ht="26" customHeight="1">
      <x:c r="A27" s="103"/>
      <x:c r="B27" s="103"/>
      <x:c r="C27" s="103"/>
      <x:c r="D27" s="103"/>
      <x:c r="E27" s="103"/>
      <x:c r="F27" s="103"/>
    </x:row>
    <x:row r="28" ht="26" customHeight="1">
      <x:c r="A28" s="103"/>
      <x:c r="B28" s="103"/>
      <x:c r="C28" s="103"/>
      <x:c r="D28" s="103"/>
      <x:c r="E28" s="103"/>
      <x:c r="F28" s="103"/>
    </x:row>
    <x:row r="30">
      <x:c r="A30" s="87" t="str">
        <x:v>Package files</x:v>
      </x:c>
      <x:c r="B30" s="87"/>
      <x:c r="C30" s="87"/>
      <x:c r="D30" s="87"/>
      <x:c r="E30" s="87"/>
      <x:c r="F30" s="87"/>
    </x:row>
    <x:row r="31">
      <x:c r="A31" s="89" t="str">
        <x:v>Workbook</x:v>
      </x:c>
      <x:c r="B31" s="70" t="str">
        <x:v>/Users/mprez/Documents/Knoweldge/outputs/sky-calendar-215-batch-approval-2026-08-20/sky-calendar-215-batch-approval-owner-review.xlsx</x:v>
      </x:c>
    </x:row>
    <x:row r="32">
      <x:c r="A32" s="89" t="str">
        <x:v>Payload manifest</x:v>
      </x:c>
      <x:c r="B32" s="70" t="str">
        <x:v>/Users/mprez/Documents/Knoweldge/outputs/sky-calendar-215-batch-approval-2026-08-20/sky-calendar-215-owner-rewrite-payloads.json</x:v>
      </x:c>
    </x:row>
    <x:row r="33">
      <x:c r="A33" s="89" t="str">
        <x:v>Source workbook</x:v>
      </x:c>
      <x:c r="B33" s="70" t="str">
        <x:v>/Users/mprez/Downloads/sky-calendar-all-live-aspects-SIGN-AWARE-AUTHORING.xlsx</x:v>
      </x:c>
    </x:row>
  </x:sheetData>
  <x:mergeCells>
    <x:mergeCell ref="A1:F2"/>
    <x:mergeCell ref="A3:F3"/>
    <x:mergeCell ref="A15:F15"/>
    <x:mergeCell ref="A16:F21"/>
    <x:mergeCell ref="A23:F23"/>
    <x:mergeCell ref="A24:F28"/>
    <x:mergeCell ref="A30:F30"/>
  </x:mergeCells>
  <x:pageMargins left="0.7" right="0.7" top="0.75" bottom="0.75" header="0.3" footer="0.3"/>
</x:worksheet>
</file>